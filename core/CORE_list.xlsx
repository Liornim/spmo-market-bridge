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10.2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1.6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25.7</v>
      </c>
      <c r="Q4" s="2" t="inlineStr">
        <is>
          <t>Q2</t>
        </is>
      </c>
      <c r="R4" s="2" t="inlineStr">
        <is>
          <t>כן</t>
        </is>
      </c>
      <c r="S4" s="2" t="inlineStr">
        <is>
          <t>Q2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44.3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21.5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70.3</v>
      </c>
      <c r="Q7" s="2" t="inlineStr">
        <is>
          <t>Q3</t>
        </is>
      </c>
      <c r="R7" s="2" t="inlineStr">
        <is>
          <t>כן</t>
        </is>
      </c>
      <c r="S7" s="2" t="inlineStr">
        <is>
          <t>Q3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62</v>
      </c>
      <c r="Q8" s="2" t="inlineStr">
        <is>
          <t>Q3</t>
        </is>
      </c>
      <c r="R8" s="2" t="inlineStr">
        <is>
          <t>כן</t>
        </is>
      </c>
      <c r="S8" s="2" t="inlineStr">
        <is>
          <t>Q3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86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59.8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70.7</v>
      </c>
      <c r="Q11" s="2" t="inlineStr">
        <is>
          <t>Q3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74.40000000000001</v>
      </c>
      <c r="Q12" s="2" t="inlineStr">
        <is>
          <t>Q3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94.40000000000001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99.8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20.8</v>
      </c>
      <c r="Q15" s="2" t="inlineStr">
        <is>
          <t>Q1</t>
        </is>
      </c>
      <c r="R15" s="2" t="inlineStr">
        <is>
          <t>כן</t>
        </is>
      </c>
      <c r="S15" s="2" t="inlineStr">
        <is>
          <t>Q1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49.3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32.5</v>
      </c>
      <c r="Q17" s="2" t="inlineStr">
        <is>
          <t>Q2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66.59999999999999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88.90000000000001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91.59999999999999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87.2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81.5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66.7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17.6</v>
      </c>
      <c r="Q24" s="2" t="inlineStr">
        <is>
          <t>Q1</t>
        </is>
      </c>
      <c r="R24" s="2" t="inlineStr">
        <is>
          <t>כן</t>
        </is>
      </c>
      <c r="S24" s="2" t="inlineStr">
        <is>
          <t>Q1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63.7</v>
      </c>
      <c r="Q25" s="2" t="inlineStr">
        <is>
          <t>Q3</t>
        </is>
      </c>
      <c r="R25" s="2" t="inlineStr">
        <is>
          <t>כן</t>
        </is>
      </c>
      <c r="S25" s="2" t="inlineStr">
        <is>
          <t>Q3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94.90000000000001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13.7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10</v>
      </c>
      <c r="Q28" s="2" t="inlineStr">
        <is>
          <t>Q1</t>
        </is>
      </c>
      <c r="R28" s="2" t="inlineStr">
        <is>
          <t>כן</t>
        </is>
      </c>
      <c r="S28" s="2" t="inlineStr">
        <is>
          <t>Q1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20</v>
      </c>
      <c r="Q29" s="2" t="inlineStr">
        <is>
          <t>Q1</t>
        </is>
      </c>
      <c r="R29" s="2" t="inlineStr">
        <is>
          <t>כן</t>
        </is>
      </c>
      <c r="S29" s="2" t="inlineStr">
        <is>
          <t>Q1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89.59999999999999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2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93.3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71.09999999999999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9.800000000000001</v>
      </c>
      <c r="Q34" s="2" t="inlineStr">
        <is>
          <t>Q1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80.8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14.7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49.4</v>
      </c>
      <c r="Q37" s="2" t="inlineStr">
        <is>
          <t>Q2</t>
        </is>
      </c>
      <c r="R37" s="2" t="inlineStr">
        <is>
          <t>כן</t>
        </is>
      </c>
      <c r="S37" s="2" t="inlineStr">
        <is>
          <t>Q2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92.40000000000001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70.90000000000001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36.1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11</v>
      </c>
      <c r="Q41" s="2" t="inlineStr">
        <is>
          <t>Q1</t>
        </is>
      </c>
      <c r="R41" s="2" t="inlineStr">
        <is>
          <t>כן</t>
        </is>
      </c>
      <c r="S41" s="2" t="inlineStr">
        <is>
          <t>Q1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42.1</v>
      </c>
      <c r="Q42" s="2" t="inlineStr">
        <is>
          <t>Q2</t>
        </is>
      </c>
      <c r="R42" s="2" t="inlineStr">
        <is>
          <t>כן</t>
        </is>
      </c>
      <c r="S42" s="2" t="inlineStr">
        <is>
          <t>Q2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80.40000000000001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23.8</v>
      </c>
      <c r="Q44" s="2" t="inlineStr">
        <is>
          <t>Q1</t>
        </is>
      </c>
      <c r="R44" s="2" t="inlineStr">
        <is>
          <t>כן</t>
        </is>
      </c>
      <c r="S44" s="2" t="inlineStr">
        <is>
          <t>Q1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48.4</v>
      </c>
      <c r="Q45" s="2" t="inlineStr">
        <is>
          <t>Q2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80.8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95.90000000000001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65.5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15.9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24.8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27.7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1.4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11</v>
      </c>
      <c r="Q53" s="2" t="inlineStr">
        <is>
          <t>Q1</t>
        </is>
      </c>
      <c r="R53" s="2" t="inlineStr">
        <is>
          <t>כן</t>
        </is>
      </c>
      <c r="S53" s="2" t="inlineStr">
        <is>
          <t>Q1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71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83.3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92.8</v>
      </c>
      <c r="Q56" s="2" t="inlineStr">
        <is>
          <t>Q4</t>
        </is>
      </c>
      <c r="R56" s="2" t="inlineStr">
        <is>
          <t>כן</t>
        </is>
      </c>
      <c r="S56" s="2" t="inlineStr">
        <is>
          <t>Q4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17.4</v>
      </c>
      <c r="Q57" s="2" t="inlineStr">
        <is>
          <t>Q1</t>
        </is>
      </c>
      <c r="R57" s="2" t="inlineStr">
        <is>
          <t>כן</t>
        </is>
      </c>
      <c r="S57" s="2" t="inlineStr">
        <is>
          <t>Q1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36.2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91.5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58.5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71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5.8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56.8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38.1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15.8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46.1</v>
      </c>
      <c r="Q66" s="2" t="inlineStr">
        <is>
          <t>Q2</t>
        </is>
      </c>
      <c r="R66" s="2" t="inlineStr">
        <is>
          <t>כן</t>
        </is>
      </c>
      <c r="S66" s="2" t="inlineStr">
        <is>
          <t>Q2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83.5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60.9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64.3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73.5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73.90000000000001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48.1</v>
      </c>
      <c r="Q72" s="2" t="inlineStr">
        <is>
          <t>Q2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70.8</v>
      </c>
      <c r="Q73" s="2" t="inlineStr">
        <is>
          <t>Q3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71.8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86.5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19.1</v>
      </c>
      <c r="Q76" s="2" t="inlineStr">
        <is>
          <t>Q1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74.5</v>
      </c>
      <c r="Q77" s="2" t="inlineStr">
        <is>
          <t>Q3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87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15.8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66.3</v>
      </c>
      <c r="Q80" s="2" t="inlineStr">
        <is>
          <t>Q3</t>
        </is>
      </c>
      <c r="R80" s="2" t="inlineStr">
        <is>
          <t>לא</t>
        </is>
      </c>
      <c r="S80" s="2" t="inlineStr">
        <is>
          <t>לא רלוונטי (SMA200 יורד)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71.09999999999999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24.6</v>
      </c>
      <c r="Q82" s="2" t="inlineStr">
        <is>
          <t>Q1</t>
        </is>
      </c>
      <c r="R82" s="2" t="inlineStr">
        <is>
          <t>כן</t>
        </is>
      </c>
      <c r="S82" s="2" t="inlineStr">
        <is>
          <t>Q1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89.59999999999999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18.8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14.3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10.7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60.3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51.2</v>
      </c>
      <c r="Q88" s="2" t="inlineStr">
        <is>
          <t>Q3</t>
        </is>
      </c>
      <c r="R88" s="2" t="inlineStr">
        <is>
          <t>כן</t>
        </is>
      </c>
      <c r="S88" s="2" t="inlineStr">
        <is>
          <t>Q3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77.5</v>
      </c>
      <c r="Q89" s="2" t="inlineStr">
        <is>
          <t>Q4</t>
        </is>
      </c>
      <c r="R89" s="2" t="inlineStr">
        <is>
          <t>כן</t>
        </is>
      </c>
      <c r="S89" s="2" t="inlineStr">
        <is>
          <t>Q4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9.4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57.1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19.9</v>
      </c>
      <c r="Q92" s="2" t="inlineStr">
        <is>
          <t>Q1</t>
        </is>
      </c>
      <c r="R92" s="2" t="inlineStr">
        <is>
          <t>כן</t>
        </is>
      </c>
      <c r="S92" s="2" t="inlineStr">
        <is>
          <t>Q1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68.3</v>
      </c>
      <c r="Q93" s="2" t="inlineStr">
        <is>
          <t>Q3</t>
        </is>
      </c>
      <c r="R93" s="2" t="inlineStr">
        <is>
          <t>כן</t>
        </is>
      </c>
      <c r="S93" s="2" t="inlineStr">
        <is>
          <t>Q3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22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68.8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87.5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21.4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4.5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19.3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34.6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15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72.09999999999999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9.300000000000001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52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21.7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33.1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47.6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63.3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61.5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83.7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30.1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39.1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67.3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59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17.5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49.8</v>
      </c>
      <c r="Q116" s="2" t="inlineStr">
        <is>
          <t>Q2</t>
        </is>
      </c>
      <c r="R116" s="2" t="inlineStr">
        <is>
          <t>כן</t>
        </is>
      </c>
      <c r="S116" s="2" t="inlineStr">
        <is>
          <t>Q2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66.8</v>
      </c>
      <c r="Q117" s="2" t="inlineStr">
        <is>
          <t>Q3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88.40000000000001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99.5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36.7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71.2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ל-2026-10-29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ברירת מחדל CORE נשמרת: אין 8-K/הנחיה חדשים מאז 14.10, D2/D3 לא מתקיימים (הכנסות +11.2%); לבדוק בדוח Q3 (30.10) את השפעת חוב Apogee על כיסוי הריבית.</t>
        </is>
      </c>
      <c r="F3" s="2" t="inlineStr">
        <is>
          <t>FAIR — מחיר 285.70$ (current_state 23.10) ≈ 20x אמצע הנחיית adj EPS 2026 (~14); FCF yield 3.6%. P/E GAAP 80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דוח Q1 FY27 (הכנסות +6%, רווח לפני מס +11%, הנחיה הועלתה) אינו מפעיל אף קוד D.</t>
        </is>
      </c>
      <c r="F6" s="2" t="inlineStr">
        <is>
          <t>EXPENSIVE — 285.24$ (current_state 28.10): P/E TTM 26.1, FCF yield 4.6%; Adj EPS FY27 לפי ההנחיה (+10-12% על 10.95$) ≈ 12.05-12.26$ → ~23.5x קדימה. גבוה לצמיחת EPS דו-ספרתית נמוכה,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Q1 FY27 (דוח 28.10.2026): הכנסות 5,491M$ (+6%, 6% אורגני), EPS מדולל 2.83$ (+14%), Adj EPS 2.82$ (+13%), pays per control +2%. הנחיית FY27 הועלתה: הכנסות ~6% (מ-5-6%), Adj EPS +10-12% (מ-9-11%), הכנסות ריבית כספי לקוחות 1.59-1.61B.</t>
        </is>
      </c>
      <c r="K6" s="2" t="inlineStr">
        <is>
          <t>ROIC TTM ~24%, מרווח נקי ~20%. Q1 FY27: רווח לפני מס 1,455M$ (+11%), Adj EBIT margin 26.8% (+130bp); הנחיית הרחבת מרווח 70-90bp ללא שינוי. הערה: operating_income FY26 בנתונים (4.08B) נמוך מ-EBIT — חריגת נתונים.</t>
        </is>
      </c>
      <c r="L6" s="2" t="inlineStr">
        <is>
          <t>FCF עלה 2.5B→5.2B (FY22-26), SBC נמוך (~243M); Q1 FY27: OCF 651M$ − capex 53M$ = FCF 598M$ (רבעון עונתי חלש, דומה ל-596M$ אשתקד).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 | Q1 FY27: רכישה עצמית 759M$ (מול 366M$ אשתקד).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 | ADP Form 8-K Ex.99 — First Quarter Fiscal 2027 results (revenue 5,490.7M +6%, EBT 1,454.9M +11%, FY27 outlook raised) (2026-10-28) https://www.sec.gov/Archives/edgar/data/0000008670/000000867026000033/q1fy27exhibit99.htm | core/current_state.json (close 285.24, P/E 26.1, FCF yield 4.56%) (2026-10-28) file:core/current_state.json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דוח Q3: AFFO/מניה +3.2% והנחיה הועלתה, מינוף 4.9x יציב, רווח תפעולי +2.9% — אין קוד D; U1 ל-REIT בתוקף → נשאר CORE.</t>
        </is>
      </c>
      <c r="F9" s="2" t="inlineStr">
        <is>
          <t>FAIR — current_state 27.10: מחיר 183.83$, P/E TTM 25.2, FCF yield 4.6%; ~16.6x אמצע הנחיית AFFO 2026 (11.10$).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בקצב הרף (~3%), OTBG נמוך בגלל DISH, מינוף 4.9x בקצה היעד. דוח Q3 לא הוריד הנחיה ולא העלה מינוף מעל 5x — התנאים לחזרה ל-WATCH לא התקיימו.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 [Q3-26, 8-K 27.10.2026] הכנסות 2.785B (+2.5% YoY), AFFO/מניה 2.87$ (+3.2%), OTBG ~1.1% (~4% ללא DISH). הנחיית AFFO/מניה 2026 עודכנה ל-11.04–11.16$ (אמצע +0.02$); EBITDA מתואם ללא שינוי; הכנסות שירותים הורדו ל-~220M (תזמון פרויקטים).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 [Q3-26] net leverage ‏4.9x (35.7B / 7.33B EBITDA שנתי) — יציב, מתחת ל-5x.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 | American Tower Q3 2026 earnings release (8-K) — rev 2,785M, OI 1,269M, AFFO/sh 2.87, net leverage 4.9x, AFFO/sh guidance 11.04–11.16 (2026-10-27) https://www.sec.gov/Archives/edgar/data/0001053507/000105350726000154/pressreleaseq32026.htm | American Tower (AMT) Q3 2026 Earnings Call Transcript (Motley Fool) (2026-10-27) https://www.fool.com/earnings/call-transcripts/2026/10/27/american-tower-amt-q3-2026-earnings-call-transcript/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CORE נשאר: דוח Q3/26 (מכירות +65%, מרווח תפעולי 29.5%, הנחיה חזקה) אינו מפעיל אף קוד D.</t>
        </is>
      </c>
      <c r="F11" s="2" t="inlineStr">
        <is>
          <t>EXPENSIVE — 81.00$ (current_state 28.10). current_state (P/E 20.3, FCF yield 4.5%, שווי 104B) עדיין על ספירת מניות לפני הפיצול; מתוקן ל-~2.575B מניות: שווי ~209B, P/E TTM ~35 (רווח נקי TTM 5.93B), ~28.6x Adj EPS 2026 (2.83$), FCF yield ~2.5%. מול צמיחה +65% ו-book-to-bill 1.19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(2025). Q3/26 (דוח 28.10.2026): מכירות 10,230M$ מול 6,194M$ (+65%, 37% אורגני), הזמנות 12.2B, book-to-bill 1.19. הנחיית Q4: 10.3-10.5B (~+60%), שנת 2026: 36.9-37.1B, Adj EPS 2.82-2.84$ (אחרי פיצול).</t>
        </is>
      </c>
      <c r="K11" s="2" t="inlineStr">
        <is>
          <t>Q3/26: רווח תפעולי GAAP 3,021M$, מרווח 29.5% (מול 27.5%), Adj 29.7%; רווח נקי 2,034M$ (+63%). ROIC ~15%, ROE ~37% (TTM קודם).</t>
        </is>
      </c>
      <c r="L11" s="2" t="inlineStr">
        <is>
          <t>FCF Q3/26 1,623M$ (OCF 2,079M$); FCF TTM ≈ 5.12B (1,469+830+1,202+1,623) ≈ 86% מרווח נקי TTM 5.93B. חיובי 4/4 רבעונים.</t>
        </is>
      </c>
      <c r="M11" s="2" t="inlineStr">
        <is>
          <t>30.9.2026: חוב 17.87B, מזומן+השקעות 5.30B → חוב נטו ~12.6B; EBITDA TTM ~10.4B (הערכה: EBIT TTM 9.16B + D&amp;A) → ND/EBITDA ~1.2 (ירד מ-1.46). שלוש רכישות נוספות (AdvancedPCB, Dexgreen, Humanetics Sensors) טרם נסגרו.</t>
        </is>
      </c>
      <c r="N11" s="2" t="inlineStr">
        <is>
          <t>רכישות רבות (CCS, Andrew, El.Com, Wilder; ממתינות AdvancedPCB/Dexgreen/Humanetics); Q3/26 buyback 245M$ + דיבידנד 308M$; דיבידנד הועלה 20% ל-0.15$; תוכנית רכישה חדשה 4B ל-3 שנים מ-1.1.2027. מניות מדוללות ~2.575B (נגזר מ-EPS 0.79) מול 2.566B אשתקד (מותאם פיצול) = +0.4%.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 | Amphenol Form 8-K Ex.99.1 — Q3 2026 results (sales 10,229.7M +65%, op. margin 29.5%, Q4 guide 10.3-10.5B) (2026-10-28) https://www.sec.gov/Archives/edgar/data/0000820313/000110465926119421/aph-ex99d1.htm | core/current_state.json (close 81.00; P/E/FCF yield on pre-split shares) (2026-10-28) file:core/current_state.json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CORE stands: the triggering news is about an ASTS holding in BlackRock funds and is immaterial to BLK itself; no new fact triggers a code.</t>
        </is>
      </c>
      <c r="F17" s="2" t="inlineStr">
        <is>
          <t>FAIR — P/E TTM 29.0 GAAP at $1,158.12 (current_state 28.10); adj. EPS +38% YoY in Q3/26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 | Search: ASTS stock / BlackRock stake news (e.g. boerse-express: BlackRock raises ASTS stake 22%) (2026-10-29) https://www.boerse-express.com/news/articles/ast-spacemobile-aktie-blackrock-stockt-um-22-prozent-auf-905150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Q3-2026 report (29.10) brings no code: revenue +7%, FY revenue guidance raised, D2/D3 clean; default CORE stands.</t>
        </is>
      </c>
      <c r="F18" s="2" t="inlineStr">
        <is>
          <t>ATTRACTIVE — current_state 29.10: close 61.41, P/E TTM 13.5, FCF yield 9.1%, mkt cap 125.8B; ~9.5x the FY26 non-GAAP EPS guide 6.35-6.55 (prices in the 2028 LOE cliff).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 | Q3-2026 (29.10): revenue ~13.07B (+7% YoY), Growth Portfolio 7.7B (+12%), Legacy +1%; FY2026 revenue guidance raised to 49.75-50.25B, legacy guided -3% to -5%, Eliquis +20-25%.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 | Bristol Myers Squibb Q3 2026 8-K Ex.99.1 (earnings release) - SEC (fetch blocked; cited via secondary) (2026-10-29) https://www.sec.gov/Archives/edgar/data/0000014272/000001427226000022/a2026q3ex991-filing.htm | Bristol Myers' Growth Drugs Hit $7.7 Billion: Rapid Earnings Reaction (Motley Fool) (2026-10-29) https://www.fool.com/investing/2026/10/29/bristol-myers-growth-drugs-hit-usd7-7-billion-rapid-earnings-reaction/ | Bristol Myers Squibb Q3 Earnings Call Highlights (MarketBeat) (2026-10-29) https://www.marketbeat.com/instant-alerts/transcript-bristol-myers-squibb-q3-earnings-call-highlights-2026-10-29/ | Bristol Myers Squibb Earnings Q3 2026 (Panabee, AI-generated) - ~1.6B IPR&amp;D/licensing (2026-10-29) https://www.panabee.com/news/bristol-myers-squibb-earnings-q3-2026 | core/current_state.json state 2026-10-29 (2026-10-29) file:core/current_state.json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דוח Q3/26 חזק (הכנסות +17%, רווח תפעולי +38%) לא מפעיל אף קוד; D1 גבולי 1.49x מתחת לסף — ברירת המחדל CORE נשמרת.</t>
        </is>
      </c>
      <c r="F21" s="2" t="inlineStr">
        <is>
          <t>EXPENSIVE — close 647.34$, P/E TTM 27.6, FCF yield 3.6% (current_state 29.10.2026); not UNJUSTIFIABLE.</t>
        </is>
      </c>
      <c r="G21" s="2" t="inlineStr">
        <is>
          <t>yes — בנייה/כרייה מחזוריות. D1 נבדק עם Q3/26: EPS TTM ~25.48 (5.11+5.47+7.77+7.13) מול ממוצע FY2021–25 ‏17.09 = 1.49x (מתחת לסף 1.5, גבולי — לבדוק שוב בדוח Q4); מרווח TTM 18.3% מול ממוצע 16.6% = 1.11x. לא מופעל.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(2021-25). עובדה (8-K 29.10.2026): Q3/26 הכנסות 20.68B (+17% מול 17.64B), EPS GAAP 7.13 (מול 4.88), מותאם 7.20; backlog שיא (ללא סכום בהודעה). אין הנחיה מספרית חדשה ל-2026 בהודעה.</t>
        </is>
      </c>
      <c r="K21" s="2" t="inlineStr">
        <is>
          <t>עובדה (8-K 29.10): רווח תפעולי Q3/26 4.21B (+38%), מרווח 20.4% (מ-17.3%), מותאם 20.6%; כולל החזר מכסים IEEPA 128M. TTM 9/2026 (חישוב שלי מ-EDGAR+8-K): מרווח תפעולי ~18.3%.</t>
        </is>
      </c>
      <c r="L21" s="2" t="inlineStr">
        <is>
          <t>עובדה (8-K 29.10): MP&amp;E OCF 9 חודשים 11.53B, capex ~2.0B → FCF ~9.5B (חישוב שלי); Q3 רכישות 1.2B + דיבידנד 0.7B.</t>
        </is>
      </c>
      <c r="M21" s="2" t="inlineStr">
        <is>
          <t>עובדה (8-K 29.10, 30.9.2026): חוב MP&amp;E ~10.65B מול מזומן MP&amp;E 7.10B; Financial Products ~34.6B (מימון לקוחות). ND/EBITDA תעשייתי נמוך.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 | Caterpillar 3Q 2026 results — 8-K Exhibit 99.1 (2026-10-29) https://www.sec.gov/Archives/edgar/data/0000018230/000001823026000052/ex991toformcat3q2026earnin.htm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Q3 2026 operating income +30% and margin up; negative FCF in only 2 of 4 quarters within a disclosed capex program — no code, CORE stands.</t>
        </is>
      </c>
      <c r="F32" s="2" t="inlineStr">
        <is>
          <t>FAIR — close 283.75, P/E TTM 14.3 (distorted by equity-security gains/losses), FCF yield TTM 1.53% (current_state 30.10); operating income +30% YoY supports the price, heavy capex depresses FCF.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No hard red flag. Yellow: FCF negative 2 of last 4 quarters (Q2 -5.9B, Q3 -9.1B) inside a disclosed capex program; debt 125.1B rising; equity raise/ATM from June 2026.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Past: revenue 258B-&gt;403B (FY21-FY25). Q3 2026 (8-K 28.10.2026): revenue 127.6B (+25% vs 102.3B); Cloud 30.7B (+103%); Search &amp; other 63.4B (+12%, slowing from 17% in Q2).</t>
        </is>
      </c>
      <c r="K32" s="2" t="inlineStr">
        <is>
          <t>Q3 2026 operating income 40.6B (+30%), margin 31.8% (31% a year earlier). Net income 26.5B (vs 35.0B) because OI&amp;E swung to -8.2B (8.7B loss on equity securities) after large gains in H1 — GAAP net income/P/E remain distorted by mark-to-market.</t>
        </is>
      </c>
      <c r="L32" s="2" t="inlineStr">
        <is>
          <t>Q3 2026 OCF 42.3B, capex 51.4B -&gt; FCF -9.1B (second negative quarter: Q2 -5.9B). 9M 2026 capex 132.0B vs 63.6B. 2026 capex guide 195-205B (Q2 call, unchanged), 'significantly higher' in 2027.</t>
        </is>
      </c>
      <c r="M32" s="2" t="inlineStr">
        <is>
          <t>30.9.2026: cash + marketable securities 265.1B vs long-term debt 125.1B (from 98.2B in June) — still net cash, but debt rising fast to fund capex.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 | Alphabet Announces Third Quarter 2026 Results (earnings release) (2026-10-28) https://s206.q4cdn.com/479360582/files/doc_financials/2026/q3/2026q3-alphabet-earnings-release.pdf | Alphabet Form 8-K Ex.99.1 Q3 2026 (SEC) (2026-10-28) https://www.sec.gov/Archives/edgar/data/0001652044/000165204426000080/googexhibit991q32026.htm | Google Earnings: Cloud Revenue Up 103%, Capex Reaches $51.4 Billion (StockTitan) (2026-10-28) https://www.stocktitan.net/articles/alphabet-q3-2026-earnings-google-cloud-doubles-search-slows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דוח Q3/26 (הכנסות נטו +15%, רווח תפעולי +20%) לא מפעיל קוד; ברירת המחדל המדורגת CORE (כשל returns גבולי, חומרה 1) נשמרת.</t>
        </is>
      </c>
      <c r="F36" s="2" t="inlineStr">
        <is>
          <t>FAIR — close 163.06$, P/E TTM 22.9, FCF yield 5.5% (current_state 29.10.2026).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9.2→12.6B (2021-25). עובדה (8-K 29.10.2026): Q3/26 הכנסות נטו 2.77B (+15%), עסקאות +23%, חוזרות +7%; EPS GAAP 1.67 (+18%), מותאם 2.02 (+18%). הנחיה 2026: צמיחת הכנסות חוזרות Exchange 9%, FIDS 8%.</t>
        </is>
      </c>
      <c r="K36" s="2" t="inlineStr">
        <is>
          <t>עובדה (8-K 29.10): רווח תפעולי GAAP Q3/26 1.41B (+20%), מרווח 51% (מ-49%); רווח נקי מיוחס 940M (מ-816M). ROE/ROIC מדוכאים ממוניטין רכישות (כשל returns חומרה 1).</t>
        </is>
      </c>
      <c r="L36" s="2" t="inlineStr">
        <is>
          <t>עובדה (8-K 29.10): 9 חודשים 2026 OCF 4.49B (מ-3.39B), FCF 3.82B (מותאם 3.73B).</t>
        </is>
      </c>
      <c r="M36" s="2" t="inlineStr">
        <is>
          <t>עובדה (8-K 29.10, 30.9.2026): חוב ~23.3B (2.96B קצר + 20.35B ארוך), מזומן 0.94B → ND ~22.4B; ND/EBITDA ~3.1x (חישוב שלי, EBITDA TTM ~7.1B הערכה). עליית החוב קשורה למימון MarketAxess (הוכרזה 7/2026, סגירה צפויה Q1/2027); החברה מתכננת הורדת מינוף אחרי הסגירה.</t>
        </is>
      </c>
      <c r="N36" s="2" t="inlineStr">
        <is>
          <t>עובדה (8-K 29.10): רכישות עצמיות שיא 1.6B ב-9 חודשים + דיבידנד 884M; מניות מדוללות צפויות 558–563M ב-Q4/26 (יורד). רכישת MarketAxess (~5.7B, הוכרזה 7/2026 — לפני הסקירה הקודמת).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 | ICE Q3 2026 results — 8-K Exhibit 99.1 (2026-10-29) https://www.sec.gov/Archives/edgar/data/0001571949/000110465926119880/tm2628301d1_ex99-1.htm | ICE 10-Q Q3 2026 (2026-10-29) https://www.sec.gov/Archives/edgar/data/0001571949/000157194926000015/ice-20260930.htm | Intercontinental Exchange to Acquire MarketAxess (press release) (2026-07) https://s2.q4cdn.com/154085107/files/doc_news/Intercontinental-Exchange-to-Acquire-MarketAxess-Creating-a-Premier-Fixed-Income-Marketplace-2026.pdf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החדשה (תיקון תוויות מיחזור באירופה, 22.10) היא התחייבות וולונטרית ללא השפעה כספית — לא D4; אין עובדה חדשה אחרת, דוח Q3 טרם פורסם.</t>
        </is>
      </c>
      <c r="F42" s="2" t="inlineStr">
        <is>
          <t>EXPENSIVE — מחיר 92.71$ (current_state 26.10): P/E TTM 29.2, FCF yield 3.14%; ~28x EPS comparable 2026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 | Coca-Cola, Nestlé, and Danone Agree to Improve Recycling Claims Following EU Greenwashing Complaint – ESG Today (2026-10-22) https://www.esgtoday.com/coca-cola-nestle-and-danone-agree-to-improve-recycling-claims-following-eu-greenwashing-complaint/ | Coca-Cola sets Oct. 27 for Q3 2026 earnings release (before NYSE open) – StockTitan (2026-09-29) https://www.stocktitan.net/news/KO/the-coca-cola-company-announces-timing-of-third-quarter-2026-aci1hc5g2760.html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Q3-2026 report (29.10): sales +9%, adjusted operating profit +8%, FY EPS guide 17.82-17.92; D2 clean (Q2+Q3 op income -0.4%, margin -2.4pp) — default CORE stands.</t>
        </is>
      </c>
      <c r="F43" s="2" t="inlineStr">
        <is>
          <t>FAIR — current_state 29.10: close 503.44, P/E TTM 32.3, FCF yield 2.1%; ~28x FY26 adj EPS guide midpoint 17.87 for +8-9% EPS growth — within own historical range.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 | Q3-2026 (29.10): sales 9.40B (+9%, +5% underlying), adj EPS 4.59 (+9%), GAAP EPS 3.66 (-11%); FY2026 adj EPS guide 17.82-17.92 (+8-9%), Q4 4.40-4.50.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 | Linde Q3 2026 earnings release (8-K Ex.99.1) (2026-10-29) https://www.sec.gov/Archives/edgar/data/0001707925/000165495426009199/lin_ex991.htm | Linde plc 10-Q for quarter ended 30.9.2026 (2026-10-29) https://www.sec.gov/Archives/edgar/data/0001707925/000162828026068079/lin-20260930.htm | core/current_state.json state 2026-10-29 (2026-10-29) file:core/current_state.json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Q3-2026 report (29.10): revenue +39% to 24.4B, FY revenue guidance raised to 91-92B; D2/D3 clean after acquired-IPR&amp;D adjustment — default CORE stands.</t>
        </is>
      </c>
      <c r="F44" s="2" t="inlineStr">
        <is>
          <t>EXPENSIVE — current_state 29.10: close 1373.0, P/E TTM 45.9, FCF yield 1.5%; ~38.6x midpoint FY26 non-GAAP EPS 35.5 with revenue +39% — expensive, not unjustifiable.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 | Q3-2026 (29.10): revenue 24.40B (+39%); Mounjaro 10.7B (+65%), Zepbound 5.35B (+49%); realized price -15%. FY2026 guidance: revenue 91-92B (was 85-87B), non-GAAP EPS 35.0-36.0 (was 35.5-36.5, cut only by 4.57/sh Q3 IPR&amp;D).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 | Lilly reports third-quarter 2026 financial results, raises full-year guidance (Lilly IR) (2026-10-29) https://investor.lilly.com/news-releases/news-release-details/lilly-reports-third-quarter-2026-financial-results-raises-full | Lilly Q3 2026 8-K earnings release (SEC) (2026-10-29) https://www.sec.gov/Archives/edgar/data/0000059478/000005947826000104/q326lillysalesandearningsp.htm | core/current_state.json state 2026-10-29 (2026-10-29) file:core/current_state.json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דוח Q3/26 (הכנסות +14%, EPS GAAP +22%) לא מפעיל קוד; CORE-ELIGIBLE → CORE נשמר.</t>
        </is>
      </c>
      <c r="F46" s="2" t="inlineStr">
        <is>
          <t>FAIR — close 635.70$, P/E TTM 34.5, FCF yield 3.0% (current_state 29.10.2026); EPS מותאם +21% — לא UNJUSTIFIABLE.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18.9B (2021) → 32.8B (2025). עובדה (דוח Q3/26, 29.10.2026): הכנסות נטו 9.8B (+14%), EPS GAAP 5.28 (מול 4.34, +22%), מותאם 5.31 (+21%), שירותים +19%.</t>
        </is>
      </c>
      <c r="K46" s="2" t="inlineStr">
        <is>
          <t>עובדה (Q3/26, 29.10): רווח תפעולי מותאם 5.9B (+15%), מרווח מותאם 60.5% (+0.7pp). TTM מרווח תפעולי GAAP ~58–59%.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עובדה (30.9.2026): חוב ארוך 22.2B (+21.6% מסוף 2025) + קצר 1.7B, מזומן 10.1B; ND/EBITDA ~0.7 (חישוב שלי). כיסוי ריבית גבוה.</t>
        </is>
      </c>
      <c r="N46" s="2" t="inlineStr">
        <is>
          <t>עובדה (Q3/26): רכישות 3.0B (5.3M מניות) + דיבידנד 763M ברבעון; עוד 0.6B עד 26.10; נותרו 4.9B בתוכנית. מניות מדוללות יורדות.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 | Mastercard Q3 2026 earnings release — 8-K Exhibit 99.1 (fetch failed; figures via secondary sources) (2026-10-29) https://www.sec.gov/Archives/edgar/data/0001141391/000114139126000122/ma09302026-exx991xearnings.htm | Mastercard Beats Q3 Earnings on Higher Cross-Border Volumes &amp; Pricing (Zacks/Yahoo Finance) (2026-10-29) https://finance.yahoo.com/markets/stocks/articles/mastercard-beats-q3-earnings-higher-145800659.html | GuruFocus: Mastercard Reports Q3 2026 Earnings: EPS of $5.28, Revenue $9.8B (2026-10-29) https://www.gurufocus.com/news/9150990/mastercard-reports-q3-2026-earnings-eps-of-528-beats-estimates-revenue-reaches-98-billion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Q3-2026 report (29.10) brings no new code: sales +5%, Keytruda franchise +6%, guidance raised; U2 normalization still corrects ROIC/leverage and D2 (-7.5% op income, -4.5pp margin after IPR&amp;D) is below threshold — CORE stands.</t>
        </is>
      </c>
      <c r="F48" s="2" t="inlineStr">
        <is>
          <t>FAIR — current_state 29.10: close 146.34, P/E TTM 113.9 (distorted by IPR&amp;D charges); FY26 non-GAAP EPS ex the 6.05/sh BD charges ~8.85 -&gt; ~16.5x; FCF yield 4.4%.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 | Q3-2026 (29.10): sales 18.09B (+5%), Keytruda+Keytruda Qlex 8.60B (+6%; Qlex 0.83B); FY2026 sales guidance narrowed up to 66.8-67.3B, non-GAAP EPS 2.77-2.82 (incl. ~6.05/sh one-time BD charges).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 | Merck Announces Third-Quarter 2026 Financial Results (Business Wire) (2026-10-29) https://www.businesswire.com/news/home/20261029138599/en/Merck-Co.-Inc.-Rahway-N.J.-USA-Announces-Third-Quarter-2026-Financial-Results-Highlights-Multiple-Milestones-Advancing-Broad-Diverse-Pipeline | Merck Q3 2026 8-K Ex.99.2 (GAAP P&amp;L, pretax 5,559M vs 6,745M) (2026-10-29) https://www.sec.gov/Archives/edgar/data/0000310158/000110465926119825/tm2628203d1_ex99-2.htm | core/current_state.json state 2026-10-29 (2026-10-29) file:core/current_state.json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Q1 FY27 revenue +19%, operating income +21%, Azure +48% — no code triggered, CORE stands.</t>
        </is>
      </c>
      <c r="F51" s="2" t="inlineStr">
        <is>
          <t>FAIR — close 530.43, P/E TTM 29.6, FCF yield TTM 1.69% (current_state 30.10); ~19-21% revenue/op-income growth justifies ~30x.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Past: revenue 198B-&gt;332B (FY22-FY26). Q1 FY27 (quarter to 30.9.2026, reported 28.10.2026): revenue 92.3B (+19% vs 77.7B), Azure +48% (above the ~45% guide).</t>
        </is>
      </c>
      <c r="K51" s="2" t="inlineStr">
        <is>
          <t>Q1 FY27 operating income 45.9B (+21% vs 38.0B), margin ~49.7%. GAAP net income 36.6B (+32%) helped by OpenAI swing (+0.2B gain vs -3.1B loss a year earlier); non-GAAP NI +18%.</t>
        </is>
      </c>
      <c r="L51" s="2" t="inlineStr">
        <is>
          <t>Q1 FY27 OCF 58.0B, capex 39.4B (~2x 19.4B) -&gt; FCF 18.6B (vs 25.7B). FY26 FCF 67.0B; capex rising every quarter.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 | Microsoft Form 8-K Ex.99.1 Q1 FY2027 earnings release (SEC) (2026-10-28) https://www.sec.gov/Archives/edgar/data/0000789019/000119312526436122/msft-ex99_1.htm | Microsoft Q1 FY27 results: revenue $92.3B, Azure +48% (Vested Finance) (2026-10-29) https://vestedfinance.com/blog/microsoft-q1-fy27-results-revenue-jumps-19-to-92-3-billion-as-azure-grows-48/ | Microsoft stock jumps 4% as cloud growth drives earnings and revenue beat (CNBC) (2026-10-28) https://www.cnbc.com/2026/10/28/microsoft-msft-q1-earnings-report-2027.html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NVDA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3" s="2" t="inlineStr">
        <is>
          <t>FAIR — מחיר 211.00$, P/E TTM 26.6, FCF yield 2.5%, שווי 5.12T (current_state 24.10); הכנסות +96% בשני הרבעונים האחרונים — לא UNJUSTIFIABLE.</t>
        </is>
      </c>
      <c r="G53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3" s="2" t="inlineStr">
        <is>
          <t>none קשיח. דגלים צהובים: רווחים בשיא מחזורי, התחייבויות אספקה $279B, ריכוזיות לקוחות.</t>
        </is>
      </c>
      <c r="I53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3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3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3" s="2" t="inlineStr">
        <is>
          <t>FCF $96.7B ב-FY26 (מ-$60.9B), capex זניח ($6.0B). איכות גבוהה, אבל OCF ($102.7B) נמוך מהרווח הנקי ($120.1B) — הון חוזר/מלאי גדלים.</t>
        </is>
      </c>
      <c r="M53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3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3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3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4">
      <c r="A54" s="2" t="inlineStr">
        <is>
          <t>PEP</t>
        </is>
      </c>
      <c r="B54" s="2" t="inlineStr">
        <is>
          <t>WATCH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4" s="2" t="inlineStr">
        <is>
          <t>ATTRACTIVE — מחיר 134.69$ (current_state 21.10): P/E TTM 16.9, FCF yield 5.7%; ~16x core EPS 2026 (קונצנזוס ~8.42, הערכה) מול P/E 22–31 ב-2021–25.</t>
        </is>
      </c>
      <c r="G54" s="2" t="inlineStr">
        <is>
          <t>no — מוצרי צריכה בסיסיים; הרווחים אינם בשיא, אלא בלחץ (הורדת תחזית אוק' 2026).</t>
        </is>
      </c>
      <c r="H54" s="2" t="inlineStr">
        <is>
          <t>none (אבל דיבידנד כמעט 100% מה-FCF וחוב עולה)</t>
        </is>
      </c>
      <c r="I54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4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4" s="2" t="inlineStr">
        <is>
          <t>שולי תפעולי 15%, ROIC 13.9% — טוב לסקטור; שולי צפון אמריקה בירידה (מבצעי מחיר, תשומות).</t>
        </is>
      </c>
      <c r="L54" s="2" t="inlineStr">
        <is>
          <t>FCF 5.6-7.9B בשנה, 7.7B ב-2025 — יציב אך לא צומח.</t>
        </is>
      </c>
      <c r="M54" s="2" t="inlineStr">
        <is>
          <t>חוב 49.9B (עולה מ-40.8B), חוב/הון 2.3, חוב נטו/EBITDA 2.2, יחס שוטף 0.94 — ממונף אך נגיש לשוק החוב.</t>
        </is>
      </c>
      <c r="N54" s="2" t="inlineStr">
        <is>
          <t>דיבידנד 7.6B ≈ 99% מה-FCF של 2025; רכישות זניחות (1.0B); המינוף עולה כדי לממן תשואה לבעלי מניות.</t>
        </is>
      </c>
      <c r="O54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4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5">
      <c r="A55" s="2" t="inlineStr">
        <is>
          <t>PG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5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5" s="2" t="inlineStr">
        <is>
          <t>no — לא מחזורי; הרווחים אינם בשיא אלא בהאטה (Q4 EPS ליבה -3%).</t>
        </is>
      </c>
      <c r="H55" s="2" t="inlineStr">
        <is>
          <t>none</t>
        </is>
      </c>
      <c r="I55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5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5" s="2" t="inlineStr">
        <is>
          <t>שולי תפעולי 22.7%, ROIC 15.7%, ROE 29.8% — מצוין ויציב. | v2 Q1 FY27: רווח תפעולי 5.94B (+1%), מרווח 25.5% (‎-0.7pp).</t>
        </is>
      </c>
      <c r="L55" s="2" t="inlineStr">
        <is>
          <t>FCF 13.6-16.5B בשנה; FCF מתואם FY26 15.8B, המרה ~100% מהרווח — איכות גבוהה.</t>
        </is>
      </c>
      <c r="M55" s="2" t="inlineStr">
        <is>
          <t>חוב 35.0B, מזומן 9.9B, חוב נטו/EBITDA 1.0, כיסוי ריבית 22.5 — חזק.</t>
        </is>
      </c>
      <c r="N55" s="2" t="inlineStr">
        <is>
          <t>דיבידנד 10.2B + רכישות 5.0B בשנה; מניות 2,539→2,422M; 70 שנות העלאת דיבידנד.</t>
        </is>
      </c>
      <c r="O55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5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Q3 הראה EPS +13.6% ו-combined ratio 88.7 (שיפור) — אין קוד D, ולכן CORE נשאר; צמיחת הפרמיות מאטה ל-+4% (לעקוב, לא קוד).</t>
        </is>
      </c>
      <c r="F56" s="2" t="inlineStr">
        <is>
          <t>FAIR — P/E TTM 11.1, שווי 129.3B ב-22.10; book value/share 59.51 (P/B ~3.7); ROE 25.7% — הוגן גם בהנחת נרמול של מרווח החיתום.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6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7">
      <c r="A57" s="2" t="inlineStr">
        <is>
          <t>PLD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7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7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7" s="2" t="inlineStr">
        <is>
          <t>none — אבל דילול מרכישות במניות הוא דפוס חוזר (Duke 2022, SEGRO 2026), ויש לעקוב אחרי Core FFO למניה אחרי השלמת העסקה.</t>
        </is>
      </c>
      <c r="I57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7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7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7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7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7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7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7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ברירת מחדל CORE-ELIGIBLE; Q3-26 תקין (אורגני +7.1%, רווח תפעולי +14%) וההנחיה נשמרה (רק מט"ח) — אין D-code → CORE.</t>
        </is>
      </c>
      <c r="F58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59">
      <c r="A59" s="2" t="inlineStr">
        <is>
          <t>SBUX</t>
        </is>
      </c>
      <c r="B59" s="2" t="inlineStr">
        <is>
          <t>WATCH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59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59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59" s="2" t="inlineStr">
        <is>
          <t>none — אבל כיסוי הדיבידנד ב-FY25 נשבר וה-turnaround עדיין לא מוכח לאורך זמן</t>
        </is>
      </c>
      <c r="I59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59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59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59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59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59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59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59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0">
      <c r="A60" s="2" t="inlineStr">
        <is>
          <t>SCHW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דוח Q3 (15.10.2026) חזק — הכנסות +17%, EPS +29%, NNA שיא — ואין שום קוד הורדה; נשאר CORE.</t>
        </is>
      </c>
      <c r="F60" s="2" t="inlineStr">
        <is>
          <t>FAIR — מחיר 91.65$ (current_state 21.10): P/E TTM 15.8; ~13.5x על קצב EPS מתואם שנתי (Q3 1.69×4, הערכה).</t>
        </is>
      </c>
      <c r="G60" s="2" t="inlineStr">
        <is>
          <t>partly — הכנסות ריבית (3.36B ברבעון) רגישות לריבית ולמזומן לקוחות; נכסי לקוחות בשיא שוק. 2023 הראה ירידת EPS ל-2.54</t>
        </is>
      </c>
      <c r="H60" s="2" t="inlineStr">
        <is>
          <t>none</t>
        </is>
      </c>
      <c r="I60" s="2" t="inlineStr">
        <is>
          <t>הפלטפורמה הקמעונאית/RIA הגדולה בארה"ב, 13.1T$ נכסי לקוחות, יתרון עלות וסקייל</t>
        </is>
      </c>
      <c r="J60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0" s="2" t="inlineStr">
        <is>
          <t>עובדה Q3-26: מרווח טרום-מס GAAP 52.7% (מתואם 54.8%), ROE 25%, ROTCE 44% (non-GAAP). EDGAR TTM ROE 20.1%.</t>
        </is>
      </c>
      <c r="L60" s="2" t="inlineStr">
        <is>
          <t>FCF של ברוקר-בנק לא משמעותי; הרווח הנקי 8.85B ב-2025 הוא המדד</t>
        </is>
      </c>
      <c r="M60" s="2" t="inlineStr">
        <is>
          <t>Tier 1 leverage (CSC, מקדמי) 8.9%, מתואם (כולל AOCI) 7.0%; פיקדונות בנק 244.1B (+2% שנתי, -2% רבעוני); BDA 68.0B (-13% שנתי).</t>
        </is>
      </c>
      <c r="N60" s="2" t="inlineStr">
        <is>
          <t>מניות מדוללות 1,822M→1,739M (Q2/25→Q2/26, EDGAR); buyback 0.5B (4.7M מניות) ב-Q3-26; דיבידנד יציב.</t>
        </is>
      </c>
      <c r="O60" s="2" t="inlineStr">
        <is>
          <t>רגישות לריבית וסוויפ מזומן, לחץ רגולטורי על תשואות מזומן, תחרות (Robinhood וכו')</t>
        </is>
      </c>
      <c r="P60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1">
      <c r="A61" s="2" t="inlineStr">
        <is>
          <t>SHOP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1" s="2" t="inlineStr">
        <is>
          <t>EXPENSIVE — מחיר 168.65$, P/E TTM 113.5, FCF yield 1.1%, שווי 219B (current_state 24.10); צמיחה +34% מצדיקה פרמיה — לא UNJUSTIFIABLE.</t>
        </is>
      </c>
      <c r="G61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1" s="2" t="inlineStr">
        <is>
          <t>none</t>
        </is>
      </c>
      <c r="I61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1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1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1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1" s="2" t="inlineStr">
        <is>
          <t>מזומן נטו: 5.8 מיליארד $ מזומן מול 0.19 מיליארד חוב (FY2025). יחס שוטף 5.4. אין סיכון מימון.</t>
        </is>
      </c>
      <c r="N61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1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1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2">
      <c r="A62" s="2" t="inlineStr">
        <is>
          <t>SO</t>
        </is>
      </c>
      <c r="B62" s="2" t="inlineStr">
        <is>
          <t>NON-CORE</t>
        </is>
      </c>
      <c r="C62" s="2" t="inlineStr">
        <is>
          <t>CORE</t>
        </is>
      </c>
      <c r="D62" s="2" t="inlineStr">
        <is>
          <t>כן</t>
        </is>
      </c>
      <c r="E62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2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2" s="2" t="inlineStr">
        <is>
          <t>no — רווח מפוקח; נקודת תורפה היא ריכוז הצמיחה בדאטה סנטרים, לא מחזור.</t>
        </is>
      </c>
      <c r="H62" s="2" t="inlineStr">
        <is>
          <t>none קשה. צהוב: כיסוי ריבית 2.21, קרוב לרף 2.</t>
        </is>
      </c>
      <c r="I62" s="2" t="inlineStr">
        <is>
          <t>עובדה: יוטיליטי מפוקחת בג'ורג'יה, אלבמה, מיסיסיפי + גז; 90% מהרווח ממפוקח; 17GW+ חוזי עומס גדול (דאטה סנטרים).</t>
        </is>
      </c>
      <c r="J62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2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2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2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2" s="2" t="inlineStr">
        <is>
          <t>עובדה (EDGAR): share_chg3 +2.7% (ATM), SBC 0. דיבידנד 3.06B ב-TTM. תוכנית capex של 81B ל-2026–2030 (חברה).</t>
        </is>
      </c>
      <c r="O62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2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3">
      <c r="A63" s="2" t="inlineStr">
        <is>
          <t>SPGI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דוח Q3: הכנסות +7%, רווח תפעולי +26% (+13% בניכוי רווח מימוש), הנחיית Adj EPS הועלתה — אין קוד; נשאר CORE.</t>
        </is>
      </c>
      <c r="F63" s="2" t="inlineStr">
        <is>
          <t>FAIR — current_state 27.10: מחיר 448.92$, P/E TTM 28.0, FCF yield 4.16%; ~25.2x אמצע הנחיית Adj EPS 2026 (17.825$).</t>
        </is>
      </c>
      <c r="G63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3" s="2" t="inlineStr">
        <is>
          <t>none</t>
        </is>
      </c>
      <c r="I63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3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 [Q3-26, 8-K 27.10.2026, פעילות נמשכת ללא Mobility] הכנסות 3.678B (+7%); הנחיית הכנסות 2026 הועלתה ל-+7.4–8.4%, Adj EPS הועלה ל-17.70–17.95$; GAAP EPS הורד ל-16.25–16.50$ בגלל התאמת רווחי מימוש צפויים.</t>
        </is>
      </c>
      <c r="K63" s="2" t="inlineStr">
        <is>
          <t>מרווח תפעולי TTM ~46%, Adj margin Q2 54.3%; ROIC ~10% נמוך רק בגלל goodwill של 52.7B מהמיזוג — לא בעיה תפעולית [Q3-26] רווח תפעולי GAAP 1.956B (+26%, כולל רווח מימוש 200M ב-Energy), מרווח מתואם 54%.</t>
        </is>
      </c>
      <c r="L63" s="2" t="inlineStr">
        <is>
          <t>FCF 3.6B→5.5B (2023-25), capex זניח, SBC נמוך (~236M); המרת רווח למזומן גבוהה</t>
        </is>
      </c>
      <c r="M63" s="2" t="inlineStr">
        <is>
          <t>חוב 14.2B, net debt/EBITDA ~1.4, interest coverage ~24; דירוג השקעה חזק</t>
        </is>
      </c>
      <c r="N63" s="2" t="inlineStr">
        <is>
          <t>רכישות 5.0B ב-2025 ויעד &gt;7B ב-2026; מניות ירדו 318.9M→305.1M מאז 2023; קפיצת מניות 2022 = מיזוג IHS Markit במניות, לא דילול שוטף [Q3-26] רכישות 2.6B ברבעון, &gt;4B מתחילת השנה, יעד &gt;7B ב-2026.</t>
        </is>
      </c>
      <c r="O63" s="2" t="inlineStr">
        <is>
          <t>שיבוש AI ב-Market Intelligence (נתונים/דסקטופ), רגולציה על סוכנויות דירוג, האטת שוק האשראי, סיכוני הפרדת Mobility [27.10.2026] הוכרזה סקירה אסטרטגית (כולל הפרדה אפשרית) ל-Capital IQ ועסקי נתונים קשורים ב-Market Intelligence — ללא לוח זמנים.</t>
        </is>
      </c>
      <c r="P63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 | S&amp;P Global Q3 2026 8-K (rev 3,678M +7%, GAAP OP 1,956M, Capital IQ strategic review, updated guidance) — Stock Titan (2026-10-27) https://www.stocktitan.net/sec-filings/SPGI/8-k-s-p-global-inc-reports-material-event-7c248377bc7f.html | S&amp;P Global (SPGI) Q3 2026 Earnings Call Transcript (Motley Fool) (2026-10-27) https://www.fool.com/earnings/call-transcripts/2026/10/27/sp-global-spgi-q3-2026-earnings-call-transcript/</t>
        </is>
      </c>
    </row>
    <row r="64">
      <c r="A64" s="2" t="inlineStr">
        <is>
          <t>SYK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בדיקה שבועית: אין 8-K או חדשות מהותיות מאז 13.10 (דוח Q3 ב-29.10), אין קוד — נשאר CORE.</t>
        </is>
      </c>
      <c r="F64" s="2" t="inlineStr">
        <is>
          <t>FAIR — P/E TTM GAAP 31.8, FCF yield 4.0% (current_state 23.10.2026, מחיר $307.19); P/E קדמי על EPS מתואם ~15 הוא ~20.5 (הערכה).</t>
        </is>
      </c>
      <c r="G64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4" s="2" t="inlineStr">
        <is>
          <t>none</t>
        </is>
      </c>
      <c r="I64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4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4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4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4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4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4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4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13.10, אין קוד — נשאר CORE.</t>
        </is>
      </c>
      <c r="F65" s="2" t="inlineStr">
        <is>
          <t>FAIR — P/E TTM 26.7, FCF yield 3.6% (current_state 23.10.2026, מחיר $145.04); בטווח ההיסטורי 24–31.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6">
      <c r="A66" s="2" t="inlineStr">
        <is>
          <t>TSM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6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6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6" s="2" t="inlineStr">
        <is>
          <t>none קשיח. דגל צהוב: סיכון גיאופוליטי טייוואן שאינו ניתן לגידור.</t>
        </is>
      </c>
      <c r="I66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6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6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6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6" s="2" t="inlineStr">
        <is>
          <t>מזומן 3.07T מול חוב 1.06T TWD — מזומן נטו (net debt/EBITDA −0.66), כיסוי ריבית 285x. חזק מאוד.</t>
        </is>
      </c>
      <c r="N66" s="2" t="inlineStr">
        <is>
          <t>אין דילול (מניות ~25.93B יציבות); אין באיבק; דיבידנד עולה — TWD 18 (2025) → 24 (2026, +33%). השקעה נוספת של $100B באריזונה.</t>
        </is>
      </c>
      <c r="O66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6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7">
      <c r="A67" s="2" t="inlineStr">
        <is>
          <t>TXN</t>
        </is>
      </c>
      <c r="B67" s="2" t="inlineStr">
        <is>
          <t>WATCH</t>
        </is>
      </c>
      <c r="C67" s="2" t="inlineStr">
        <is>
          <t>CORE</t>
        </is>
      </c>
      <c r="D67" s="2" t="inlineStr">
        <is>
          <t>כן</t>
        </is>
      </c>
      <c r="E67" s="2" t="inlineStr">
        <is>
          <t>תזוזת מחיר +12% בלבד, ללא עובדה חדשה מתוארכת מאז 22.10 (הדוח 21.10 כבר נכלל) — CORE (U3) נשמר; תזוזת מחיר לא משנה תווית.</t>
        </is>
      </c>
      <c r="F67" s="2" t="inlineStr">
        <is>
          <t>EXPENSIVE — close 312.91$, P/E TTM 40.5, FCF yield 2.5% (current_state 29.10.2026); יקר, לא UNJUSTIFIABLE (הכנסות Q3/26 +28%, הנחיית Q4 5.80–6.30B).</t>
        </is>
      </c>
      <c r="G67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7" s="2" t="inlineStr">
        <is>
          <t>none (דיבידנד מעל FCF 3 שנים — זמני עקב מחזור ה-capex, לעקוב)</t>
        </is>
      </c>
      <c r="I67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7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7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7" s="2" t="inlineStr">
        <is>
          <t>עובדה (8-K 21.10): TTM 9/2026 ‏OCF 9,896M, capex 2,578M, FCF 8,422M (מ-5.36B ב-TTM 6/2026) — ה-capex יורד כמתוכנן.</t>
        </is>
      </c>
      <c r="M67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7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7" s="2" t="inlineStr">
        <is>
          <t>מחזוריות תעשייתית/רכב, תחרות סינית באנלוג, אישור SAMR לעסקת SLAB, סיכון ביצוע במעבר ל-capex נמוך.</t>
        </is>
      </c>
      <c r="P67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8">
      <c r="A68" s="2" t="inlineStr">
        <is>
          <t>UNH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8" s="2" t="inlineStr">
        <is>
          <t>FAIR — מחיר $416.97: ~20.3x על EPS מתואם 2026 (≥$20.50) ו-~21.4x על GAAP (≥$19.50); P/E TTM 26.8, FCF yield 6.25%.</t>
        </is>
      </c>
      <c r="G68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8" s="2" t="inlineStr">
        <is>
          <t>פעולות DOJ פתוחות בעניין Medicare; אמינות ההנחיות נפגעה ב-2025 (ההנחיה הושעתה)</t>
        </is>
      </c>
      <c r="I68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8" s="2" t="inlineStr">
        <is>
          <t>עובדה (EDGAR): הכנסות 287.6B (2021) → 447.6B (2025). Q3 2026: 112.7B (−0.4%). הנחיה (הועלתה 13.10): EPS GAAP ≥$19.50, מתואם ≥$20.50.</t>
        </is>
      </c>
      <c r="K68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8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8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8" s="2" t="inlineStr">
        <is>
          <t>עובדה: רכישות עצמיות של 5.0B ודיבידנדים של 6.2B מתחילת 2026. מספר המניות ירד (share_chg3 −3.6%) ו-SBC זניח.</t>
        </is>
      </c>
      <c r="O68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8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69">
      <c r="A69" s="2" t="inlineStr">
        <is>
          <t>V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דוח Q4 FY26 חזק (הכנסות +13%, רווח תפעולי +18%) ואין קוד D; ברירת המחדל המדורגת CORE נשארת.</t>
        </is>
      </c>
      <c r="F69" s="2" t="inlineStr">
        <is>
          <t>FAIR — מחיר 401.08$ (current_state 28.10): P/E ~32.6 על EPS GAAP FY26 12.32 / ~30.2 על non-GAAP 13.27, מול צמיחת EPS non-GAAP 16% ובתוך הטווח ההיסטורי 25–40.</t>
        </is>
      </c>
      <c r="G69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9" s="2" t="inlineStr">
        <is>
          <t>none</t>
        </is>
      </c>
      <c r="I69" s="2" t="inlineStr">
        <is>
          <t>רשת התשלומים הגדולה בעולם, עם אפקט רשת דו-צדדי וללא סיכון אשראי. ה-value-added services צומחים מהר.</t>
        </is>
      </c>
      <c r="J69" s="2" t="inlineStr">
        <is>
          <t>עובדה: הכנסות 24.1B ב-FY21 → 40.0B ב-FY25 (CAGR3 11.6%) → 45.9B ב-FY26 (+15%, +14% במטבע קבוע; 8-K 27.10.2026). Q4 FY26: הכנסות 12.14B (+13%), נפח תשלומים +9%, cross-border +14%, עסקאות מעובדות +10% (מטבע קבוע). לא ניתנה הנחיית FY27 בהודעה.</t>
        </is>
      </c>
      <c r="K69" s="2" t="inlineStr">
        <is>
          <t>עובדה: FY26 רווח נקי GAAP 23.5B (+17%), EPS GAAP 12.32 (+21%), non-GAAP 13.27 (+16%). Q4 FY26 רווח תפעולי GAAP 7.26B (+18%), מרווח 59.8% (57.3% שנה קודם); הפרשת ליטיגציה 474M ברבעון (903M שנה קודם), 1.7B בשנה. ROIC 44%, ROE 62% (EDGAR TTM 3/2026).</t>
        </is>
      </c>
      <c r="L69" s="2" t="inlineStr">
        <is>
          <t>עובדה (EDGAR): FCF חיובי בכל 5 השנים, 21.2B ב-TTM (כ-49% מההכנסות), עם capex של כ-1.5B בלבד.</t>
        </is>
      </c>
      <c r="M69" s="2" t="inlineStr">
        <is>
          <t>עובדה (EDGAR): חוב נטו/EBITDA של 0.4x וכיסוי ריבית של 42x. חזק מאוד.</t>
        </is>
      </c>
      <c r="N69" s="2" t="inlineStr">
        <is>
          <t>עובדה: FY26 רכישות עצמיות 20.5B (~61M מניות) + דיבידנדים, סה"כ 25.6B; Q4 FY26 רכישות 4.0B (~11M מניות ב-369.12$). הדיבידנד הרבעוני הועלה 16% ל-0.78$. מניות class A as-converted ירדו מ-~2.19B ב-FY21. רכישת BioCatch ב-2.4B במזומן, צפויה להיסגר עד סוף Q2 FY27. SBC ~2.1% מההכנסות — אין דילול.</t>
        </is>
      </c>
      <c r="O69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9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 | Visa fiscal Q4 and FY2026 results — 8-K Ex.99.1 (SEC) (2026-10-27) https://www.sec.gov/Archives/edgar/data/0001403161/000140316126000126/q42026earningsrelease.htm | core/current_state.json (close) state 2026-10-28 (2026-10-28) file:core/current_state.json</t>
        </is>
      </c>
    </row>
    <row r="70">
      <c r="A70" s="2" t="inlineStr">
        <is>
          <t>VRTX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ברירת מחדל CORE; אין עובדה חדשה שמפעילה קוד (רק מינוי דירקטור 20.10) ו-D2/D3 לא מתקיימים.</t>
        </is>
      </c>
      <c r="F70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0" s="2" t="inlineStr">
        <is>
          <t>no — הביקוש לתרופות CF אינו מחזורי. השוליים משקפים מונופול ולא שיא מחזורי.</t>
        </is>
      </c>
      <c r="H70" s="2" t="inlineStr">
        <is>
          <t>none</t>
        </is>
      </c>
      <c r="I70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0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0" s="2" t="inlineStr">
        <is>
          <t>שולי גולמי 86% ושולי תפעול 39% (TTM). ROIC 17%. השוליים הם מהגבוהים בביוטק.</t>
        </is>
      </c>
      <c r="L70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0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0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0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0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1">
      <c r="A71" s="2" t="inlineStr">
        <is>
          <t>WFC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1" s="2" t="inlineStr">
        <is>
          <t>FAIR — P/E TTM 11.2 (current_state 23.10.2026, מחיר $82.39), ROTCE ~16%.</t>
        </is>
      </c>
      <c r="G71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1" s="2" t="inlineStr">
        <is>
          <t>none</t>
        </is>
      </c>
      <c r="I71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1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1" s="2" t="inlineStr">
        <is>
          <t>מדד מתאים לבנק: ROTCE של 16.3% ב-Q3 2026 (מול 15.2% בשנה הקודמת), ROE של 13.8%, ו-NCO של 0.38%. ROE לפי EDGAR הוא 12.5% (עובר).</t>
        </is>
      </c>
      <c r="L71" s="2" t="inlineStr">
        <is>
          <t>לא רלוונטי לבנק: ה-OCF תנודתי (−19B ב-2025). המדד הנכון הוא רווח נקי: 21.3B ב-2025 ו-22.6B ב-TTM, חיובי בכל 5 השנים.</t>
        </is>
      </c>
      <c r="M71" s="2" t="inlineStr">
        <is>
          <t>CET1 של 10.0% ב-Q3 2026, ירידה מ-11.0% לפני שנה. זו התחתית של יעד 10%–10.5%, אבל מעל הדרישה. דק יחסית ל-JPM (13.9%).</t>
        </is>
      </c>
      <c r="N71" s="2" t="inlineStr">
        <is>
          <t>עובדה: ב-Q3 2026 נרכשו 28.6M מניות ב-$2.5B. מספר המניות ירד ב-17.5% ב-3 שנים (EDGAR) ו-SBC זניח.</t>
        </is>
      </c>
      <c r="O71" s="2" t="inlineStr">
        <is>
          <t>CET1 צמוד ליעד, חשיפה ל-CRE office ולצרכן חלש, רגישות ל-AOCI, והיסטוריה של כשלי ציות (רוב ה-consent orders כבר מאחוריו).</t>
        </is>
      </c>
      <c r="P71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2">
      <c r="A72" s="2" t="inlineStr">
        <is>
          <t>WM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דוח Q3 2026 משפר (רווח תפעולי 2 רבעונים +18%, FCF 9 חודשים +42%, הנחיה אושרה) ואין קוד D; נשאר CORE.</t>
        </is>
      </c>
      <c r="F72" s="2" t="inlineStr">
        <is>
          <t>EXPENSIVE — מחיר 225.14$ (current_state 28.10): P/E TTM 31.8, ~28x adj EPS 2026 (8.11, הערכה) / ~25x 2027 (9.03), FCF yield TTM 3.9% (~4.2% על הנחיית FCF 3.85B, שווי 90.6B). יקר לצמיחת EPS ~9–11%, לא בלתי-מוצדק.</t>
        </is>
      </c>
      <c r="G72" s="2" t="inlineStr">
        <is>
          <t>no — פינוי פסולת הוא שירות חיוני עם תמחור חוזי; ירידת נפחים קלה ב-2026 קוזזה בתמחור ובמרווח.</t>
        </is>
      </c>
      <c r="H72" s="2" t="inlineStr">
        <is>
          <t>none</t>
        </is>
      </c>
      <c r="I72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2" s="2" t="inlineStr">
        <is>
          <t>עובדה: הכנסות 17.9→25.2 מיליארד (2021–2025). Q3 2026 (8-K 27.10.2026): הכנסות 6,846M (+6.3%). הנחיית 2026 אושרה: הכנסות בקצה העליון של 26.275–26.475B, Adj. EBITDA 8.15–8.25B. הערכה: קונצנזוס EPS מתואם 8.11 (2026) ו-9.03 (2027).</t>
        </is>
      </c>
      <c r="K72" s="2" t="inlineStr">
        <is>
          <t>עובדה: Q3 2026 רווח תפעולי 1,279M (+29%), מרווח 18.7% מול 15.3% (Q3 2025 כלל הפחתות 252M); Adj. EBITDA 2,121M, מרווח 31.0% (31.1%); EPS מתואם 2.15 (+9%). ROIC ~9% (EDGAR).</t>
        </is>
      </c>
      <c r="L72" s="2" t="inlineStr">
        <is>
          <t>עובדה: 9 חודשים 2026 — OCF 4,867M (+12%), capex 1,937M, FCF 3,009M (+42%); הנחיית FCF 2026 בקצה העליון של 3.75–3.85B. FCF 2025: 2.82B.</t>
        </is>
      </c>
      <c r="M72" s="2" t="inlineStr">
        <is>
          <t>עובדה: חוב 23.37B פחות מזומן 0.25B ≈ חוב נטו 23.1B ב-30.9.2026 (חישוב); מול Adj. EBITDA 2026 מונחה ~8.2B ≈ 2.8x (הערכה; EDGAR TTM 6/2026 היה 3.05x). בירידה, בתוך יעד החברה 2.5–3x.</t>
        </is>
      </c>
      <c r="N72" s="2" t="inlineStr">
        <is>
          <t>עובדה: Q3 2026 החזר 957M (רכישות 580M + דיבידנד 377M); 9 חודשים 2.72B (רכישות 1.58B); צפי רכישות 2B ל-2026. מניות 423→404 מיליון מאז 2021.</t>
        </is>
      </c>
      <c r="O72" s="2" t="inlineStr">
        <is>
          <t>שילוב Stericycle, תמחור אנרגיה/ממחזר, רגולציה סביבתית למטמנות; אין סיכון קיומי מזוהה.</t>
        </is>
      </c>
      <c r="P72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 | WM Q3 2026 results — 8-K Ex.99.1 (SEC) (2026-10-27) https://www.sec.gov/Archives/edgar/data/0000823768/000110465926119188/tm2628322d1_ex99-1.htm | SEC EDGAR companyfacts WM (core/sec/WM.json fetched 2026-10-24) — Q2 2026 / 2025 quarters for D2 (2026-10-24) https://data.sec.gov/api/xbrl/companyfacts/CIK0000823768.json | core/current_state.json state 2026-10-28 (2026-10-28) file:core/current_state.json</t>
        </is>
      </c>
    </row>
    <row r="73">
      <c r="A73" s="2" t="inlineStr">
        <is>
          <t>WMT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3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3" s="2" t="inlineStr">
        <is>
          <t>no — דפנסיבי; אך OI של Q2/FY27 נופח ~750bp מהחזרי מכסים חד-פעמיים, וההנהלה ממליצה לקרוא Q2+Q3 יחד</t>
        </is>
      </c>
      <c r="H73" s="2" t="inlineStr">
        <is>
          <t>none</t>
        </is>
      </c>
      <c r="I73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3" s="2" t="inlineStr">
        <is>
          <t>עבר: הכנסות 572.8B→713.2B (FY22–FY26, ~5.6% לשנה), EPS 1.62→2.73. קדימה: הנחיה FY27 מכירות +4–5%, EPS 2.80–2.87; קונצנזוס FY28 EPS 3.22</t>
        </is>
      </c>
      <c r="K73" s="2" t="inlineStr">
        <is>
          <t>מרווח נמוך הוא המודל (תפעולי 4.4%); המדד המתאים: ROIC 12.7%, ROE 22.7%; מרווח משתפר עם תמהיל דיגיטלי</t>
        </is>
      </c>
      <c r="L73" s="2" t="inlineStr">
        <is>
          <t>FCF 11.1B→14.9B (FY22–FY26), יציב-עולה; ההנהלה צופה צמיחה דו-ספרתית ב-FCF ב-FY27 עם capex ~4% מהמכירות</t>
        </is>
      </c>
      <c r="M73" s="2" t="inlineStr">
        <is>
          <t>חוב 67.1B מול מזומן 10.7B; חוב נטו/EBITDA 1.33, כיסוי ריבית 13.7x; current ratio 0.77 — רגיל לקמעונאי</t>
        </is>
      </c>
      <c r="N73" s="2" t="inlineStr">
        <is>
          <t>רכישות 8.1B + דיבידנד 7.5B ב-FY26; מניות 8.415B→8.022B (FY22–FY26, -4.7%); רכישת Vibe (עלות אינטגרציה ~20bp מצמיחת OI)</t>
        </is>
      </c>
      <c r="O73" s="2" t="inlineStr">
        <is>
          <t>מכסים; עלויות דלק נוספות &gt;2B ב-FY27; צרכן חלש; תחרות AI/אמזון; הסיכון העיקרי הוא דחיסת מכפיל</t>
        </is>
      </c>
      <c r="P73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4">
      <c r="A74" s="2" t="inlineStr">
        <is>
          <t>ABT</t>
        </is>
      </c>
      <c r="B74" s="2" t="inlineStr">
        <is>
          <t>NON-CORE</t>
        </is>
      </c>
      <c r="C74" s="2" t="inlineStr">
        <is>
          <t>WATCH</t>
        </is>
      </c>
      <c r="D74" s="2" t="inlineStr">
        <is>
          <t>לא</t>
        </is>
      </c>
      <c r="E74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4" s="2" t="inlineStr">
        <is>
          <t>ATTRACTIVE — מחיר 100.56$ (current_state 21.10): ~18.2x על adj EPS 2026 (אמצע 5.525, הנחיה), P/E TTM GAAP 28.0, FCF yield 4.2%.</t>
        </is>
      </c>
      <c r="G74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4" s="2" t="inlineStr">
        <is>
          <t>none — FCF חיובי, ND/EBITDA 2.06, אין דילול; ירידת רווח GAAP מוסברת בפריטים מיוחדים (ראה profitability).</t>
        </is>
      </c>
      <c r="I74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4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4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4" s="2" t="inlineStr">
        <is>
          <t>עובדה (EDGAR): FCF חיובי בכל 5 השנים; FY25 7.4B, TTM למרץ 7.4B. FCF yield 4.1% (current_state).</t>
        </is>
      </c>
      <c r="M74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4" s="2" t="inlineStr">
        <is>
          <t>עובדה (EDGAR): דיבידנד 4.1B ורכישות 0.9B ב-FY25; share_chg3 -0.3%, SBC 1.5%. M&amp;A גדול ב-2026 (Exact) שעוד צריך להוכיח תשואה.</t>
        </is>
      </c>
      <c r="O74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4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5">
      <c r="A75" s="2" t="inlineStr">
        <is>
          <t>ADI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5" s="2" t="inlineStr">
        <is>
          <t>EXPENSIVE — מחיר 391.29$ (current_state 23.10): P/E TTM 46.3, FCF yield 2.6% — יקר על רווחים במעלה המחזור, לא UNJUSTIFIABLE.</t>
        </is>
      </c>
      <c r="G75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5" s="2" t="inlineStr">
        <is>
          <t>none קשה. צהוב: תמחור יקר על רווחים במעלה המחזור.</t>
        </is>
      </c>
      <c r="I75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5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5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5" s="2" t="inlineStr">
        <is>
          <t>עובדה (EDGAR): FCF TTM 4.94B (36% מההכנסות), חיובי ב-5 מתוך 5 שנים, כולל השפל.</t>
        </is>
      </c>
      <c r="M75" s="2" t="inlineStr">
        <is>
          <t>עובדה (EDGAR): ND/EBITDA 0.79, כיסוי ריבית 14.1 — חזק.</t>
        </is>
      </c>
      <c r="N75" s="2" t="inlineStr">
        <is>
          <t>עובדה (EDGAR): share_chg3 -2.9%, SBC 2.5%. רכישות 3.13B ודיבידנד 2.04B ב-TTM. דילול Maxim (2021) כבר קוזז.</t>
        </is>
      </c>
      <c r="O75" s="2" t="inlineStr">
        <is>
          <t>מחזוריות תעשייתית/רכב, תחרות סינית באנלוגי, חשיפה לסין, רכב חלש (book-to-bill &lt;1 ב-Q1). אין ריכוזיות לקוחות.</t>
        </is>
      </c>
      <c r="P75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6">
      <c r="A76" s="2" t="inlineStr">
        <is>
          <t>ARM</t>
        </is>
      </c>
      <c r="B76" s="2" t="inlineStr">
        <is>
          <t>WATCH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Weekly v2 check: jury verdict (13.10, $2 damages) is not yet a ruling on royalties; dilution failure and UNJUSTIFIABLE valuation keep WATCH = default.</t>
        </is>
      </c>
      <c r="F76" s="2" t="inlineStr">
        <is>
          <t>UNJUSTIFIABLE — P/E TTM 217, FCF yield 0.66% at $210.45 (current_state 25.10); growth ~20–25% cannot justify it.</t>
        </is>
      </c>
      <c r="G76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6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6" s="2" t="inlineStr">
        <is>
          <t>מונופול כמעט מלא בארכיטקטורת CPU למובייל ומתרחב לדאטה-סנטר (Graviton, Axion, Vera); מודל תמלוגים עם gross margin של 95%.</t>
        </is>
      </c>
      <c r="J76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6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6" s="2" t="inlineStr">
        <is>
          <t>FCF של 979M ב-FY26, אבל ה-SBC (1.05B) גבוה ממנו. בלי SBC, תזרים 'אמיתי' לבעלי המניות קרוב לאפס. ה-FCF תנודתי: 178M ב-FY25.</t>
        </is>
      </c>
      <c r="M76" s="2" t="inlineStr">
        <is>
          <t>חזק מאוד: מזומן 3.6B מול חוב 0.46B, current ratio 5.3.</t>
        </is>
      </c>
      <c r="N76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6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6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7">
      <c r="A77" s="2" t="inlineStr">
        <is>
          <t>ASML</t>
        </is>
      </c>
      <c r="B77" s="2" t="inlineStr">
        <is>
          <t>CORE-ELIGIBLE</t>
        </is>
      </c>
      <c r="C77" s="2" t="inlineStr">
        <is>
          <t>WATCH</t>
        </is>
      </c>
      <c r="D77" s="2" t="inlineStr">
        <is>
          <t>כן</t>
        </is>
      </c>
      <c r="E77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7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7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7" s="2" t="inlineStr">
        <is>
          <t>none</t>
        </is>
      </c>
      <c r="I77" s="2" t="inlineStr">
        <is>
          <t>מונופול עולמי יחיד במכונות EUV; כל היצרנים המובילים (TSMC, Samsung, Intel) תלויים בו. חפיר טכנולוגי עמוק במיוחד.</t>
        </is>
      </c>
      <c r="J77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7" s="2" t="inlineStr">
        <is>
          <t>שולי גולמי Q3 2026 57.5%, הנחיית שנתית ~56%, Q4 ~57%. מרווח תפעולי FY2025 34.6% (EDGAR), ROIC גבוה מאוד.</t>
        </is>
      </c>
      <c r="L77" s="2" t="inlineStr">
        <is>
          <t>FCF ב-2025 היה 11.1 מיליארד EUR (2023: 3.2 בלבד בגלל הון חוזר). תזרים תנודתי בגלל מקדמות, אבל חיובי בכל 5 השנים.</t>
        </is>
      </c>
      <c r="M77" s="2" t="inlineStr">
        <is>
          <t>מזומן נטו: חוב 4.4 מיליארד מול 13.3 מיליארד מזומן (2025), net debt/EBITDA שלילי. Fitch: A+ יציב.</t>
        </is>
      </c>
      <c r="N77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7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7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8">
      <c r="A78" s="2" t="inlineStr">
        <is>
          <t>BSX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WATCH נשאר: דוח Q3/26 (מכירות +1.5%, הנחיה נמוכה יותר) לא מפעיל D2/D3, ו-D4 מקיצוץ ההנחיה המבני מ-29.7.2026 עדיין בתוקף.</t>
        </is>
      </c>
      <c r="F78" s="2" t="inlineStr">
        <is>
          <t>ATTRACTIVE — 42.44$ (current_state 28.10): P/E TTM 17.0, FCF yield 5.8%; ~13.4x Adj EPS 2026 (3.17$) — נמוך גם מול צמיחה מואטת.</t>
        </is>
      </c>
      <c r="G78" s="2" t="inlineStr">
        <is>
          <t>no — מכשור רפואי לא מחזורי; הבעיה היא האטת צמיחה תחרותית/תפעולית, לא שיא מחזור</t>
        </is>
      </c>
      <c r="H78" s="2" t="inlineStr">
        <is>
          <t>אין דגל אדום קשה; אזהרות: ארבעה אירועי הנחיה שליליים ב-2026 (כולל 28.10), סייבר, תביעה ייצוגית, Q4 צפוי בירידת מכירות.</t>
        </is>
      </c>
      <c r="I78" s="2" t="inlineStr">
        <is>
          <t>מוביל ב-MedTech קרדיווסקולרי (FARAPULSE, Watchman); המובילות ב-PFA נשחקת מול Medtronic ו-J&amp;J — החפיר הצטמצם</t>
        </is>
      </c>
      <c r="J78" s="2" t="inlineStr">
        <is>
          <t>עובדה (EDGAR): צמיחה 3 שנים 16.1% לשנה. Q3/26 (דוח 28.10.2026): מכירות 5,138M$ מול 5,065M$ (+1.5% מדווח ואורגני); Cardio +1.9%, MedSurg +0.7%, ארה"ב +0.5%. הנחיית 2026 מעודכנת: צמיחה ~4.25% מדווח / ~3.75% אורגני (מ-5.5-6.5% ביולי), Adj EPS 3.16-3.18$ (מ-3.28-3.32$); Q4: מכירות -3% עד -1%, Adj EPS 0.77-0.79$. ההנחיה הנמוכה בהמשך להודעת הסייבר מ-8.9.2026; ה-release לא מייחס את ירידת Q4 לגורם נוסף.</t>
        </is>
      </c>
      <c r="K78" s="2" t="inlineStr">
        <is>
          <t>Q3/26: רווח תפעולי GAAP 828M$ (מול 1,048M$), כולל ליטיגציה 81M$, impairment 39M$, ארגון מחדש 94M$; Adj. operating income 1,364M$ (26.5%) מול 1,419M$ (28.0%). Adj EPS 0.73$ מול 0.75$. ROIC ‏8.8% (סף 10%) — ההון המושקע כולל מוניטין גדול.</t>
        </is>
      </c>
      <c r="L78" s="2" t="inlineStr">
        <is>
          <t>FCF חיובי 5 מתוך 5 שנים; רבעוניים: Q4/25 1,013M$, Q1/26 171M$, Q2/26 1,279M$; תזרים Q3/26 לא פורסם ב-release (יופיע ב-10-Q).</t>
        </is>
      </c>
      <c r="M78" s="2" t="inlineStr">
        <is>
          <t>עובדה: חוב 12.6B מול מזומן 0.54B (ירד מ-1.97B בסוף 2025); חוב נטו/EBITDA ‏2.38, כיסוי ריבית 11.4x — סביר</t>
        </is>
      </c>
      <c r="N78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8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8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 | Boston Scientific Form 8-K — Q3 2026 earnings release (sales 5,138M +1.5%, GAAP op. income 828M, FY26 guide ~4.25%, adj EPS 3.16-3.18) (2026-10-28) https://www.sec.gov/Archives/edgar/data/0000885725/000088572526000066/earningsrelease_live.htm | Boston Scientific Form 8-K — Q2 2026 earnings release (op. income reconciliation Q2/26 vs Q2/25) (2026-07-29) https://www.sec.gov/Archives/edgar/data/0000885725/000088572526000051/q22026earningsrelease.htm | core/current_state.json (close 42.44, P/E 17.0, FCF yield 5.79%) (2026-10-28) file:core/current_state.json</t>
        </is>
      </c>
    </row>
    <row r="79">
      <c r="A79" s="2" t="inlineStr">
        <is>
          <t>C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Weekly v2 check: no new fact since 13.10 and no D-code (net income +41% over 2 quarters); WATCH = default stands.</t>
        </is>
      </c>
      <c r="F79" s="2" t="inlineStr">
        <is>
          <t>FAIR — P/E TTM 15.8 (EDGAR FY25, stale) at $120.65; ~10x 2026 consensus EPS (estimate), P/TBV ~1.19 (TBV 101.59).</t>
        </is>
      </c>
      <c r="G79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79" s="2" t="inlineStr">
        <is>
          <t>צווי consent רגולטוריים פתוחים על ניהול סיכונים ונתונים (ממשל תאגידי)</t>
        </is>
      </c>
      <c r="I79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79" s="2" t="inlineStr">
        <is>
          <t>עבר: EPS תנודתי (10.14 ב-2021, 4.04 ב-2023, 6.99 ב-2025). Q3 2026: הכנסות 23.8B (+8%), NII +14%. קונצנזוס EPS: 11.19 ב-2026 ו-12.81 ב-2027 (הערכה).</t>
        </is>
      </c>
      <c r="K79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79" s="2" t="inlineStr">
        <is>
          <t>לא רלוונטי לבנק: OCF ו-FCF שליליים בגלל תנועות במאזן (הערת נתונים ב-JSON).</t>
        </is>
      </c>
      <c r="M79" s="2" t="inlineStr">
        <is>
          <t>CET1 של 12.8%, כ-120bp מעל הדרישה של 11.6%. LCR של 114%. TBV למניה 101.59$ (+6%). הפרשות לאשראי של 2.6B ברבעון.</t>
        </is>
      </c>
      <c r="N79" s="2" t="inlineStr">
        <is>
          <t>רכישות חוזרות אגרסיביות: 3B ב-Q3 ותוכנית חדשה של 30B$. דיבידנד הועלה ב-12%. מספר המניות ירד מ-2,049M ל-1,863M.</t>
        </is>
      </c>
      <c r="O79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79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0">
      <c r="A80" s="2" t="inlineStr">
        <is>
          <t>COP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fact; growth failure without a valid code keeps WATCH = default.</t>
        </is>
      </c>
      <c r="F80" s="2" t="inlineStr">
        <is>
          <t>FAIR — P/E TTM 19.7 at $150.81 (current_state 25.10).</t>
        </is>
      </c>
      <c r="G80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0" s="2" t="inlineStr">
        <is>
          <t>none (מבחינה פיננסית); הרווחים בשיא מחזורי</t>
        </is>
      </c>
      <c r="I80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0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0" s="2" t="inlineStr">
        <is>
          <t>ROIC TTM של 7.9%, ROE של 14.3% ומרווח תפעולי של 22%. סביר ל-E&amp;P אבל מחזורי לגמרי.</t>
        </is>
      </c>
      <c r="L80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0" s="2" t="inlineStr">
        <is>
          <t>חוב 23.4B מול מזומן 7.0B. net debt/EBITDA 0.6, interest coverage 11.7. דירוג השקעה.</t>
        </is>
      </c>
      <c r="N80" s="2" t="inlineStr">
        <is>
          <t>החזר של כ-45% מה-CFO ב-2026; 3B ב-Q2. מספר המניות ירד מ-1,328M ל-1,253M למרות רכישת Marathon. מכירת נכסים של 5B$ הושלמה.</t>
        </is>
      </c>
      <c r="O80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0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1">
      <c r="A81" s="2" t="inlineStr">
        <is>
          <t>CVX</t>
        </is>
      </c>
      <c r="B81" s="2" t="inlineStr">
        <is>
          <t>NON-CORE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ללא עובדה חדשה שמפעילה קוד: ברירת המחדל המדורגת WATCH נשמרת; הפסד ה-Hess Midstream (3-4B$) הוא פריט חד-פעמי.</t>
        </is>
      </c>
      <c r="F81" s="2" t="inlineStr">
        <is>
          <t>FAIR — close 233.24$, P/E TTM 22.4, FCF yield 5.9% (current_state 2026-10-23); רווחי Q2/26 מנופחים ממחירי מלחמה — לא זול על נפט מנורמל.</t>
        </is>
      </c>
      <c r="G81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1" s="2" t="inlineStr">
        <is>
          <t>none</t>
        </is>
      </c>
      <c r="I81" s="2" t="inlineStr">
        <is>
          <t>מייג'ור משולב עם נכסי Permian/TCO/גיאנה (Hess); breakeven לדיבידנד+השקעות מתחת ל-$50 ברנט עד 2030 לפי תוכנית החברה</t>
        </is>
      </c>
      <c r="J81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1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1" s="2" t="inlineStr">
        <is>
          <t>חיובי בכל 5 השנים (15-38B); Q2/26 FCF 18.1B (מותאם 15.4B) – מנופח ממחירי מלחמה</t>
        </is>
      </c>
      <c r="M81" s="2" t="inlineStr">
        <is>
          <t>חזק: net debt ratio 13.1% ביוני 2026 (15.6% בסוף 2025), net debt/CFFO 0.6x</t>
        </is>
      </c>
      <c r="N81" s="2" t="inlineStr">
        <is>
          <t>דיבידנד 1.78$ לרבעון + רכישות ~3.1B ברבעון; מניות עלו ב-2025 בגלל הנפקה ל-Hess</t>
        </is>
      </c>
      <c r="O81" s="2" t="inlineStr">
        <is>
          <t>תלות מלאה במחיר סחורה, מעבר אנרגטי, סיכון גיאופוליטי (TCO/קזחסטן), אינטגרציית Hess</t>
        </is>
      </c>
      <c r="P81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</t>
        </is>
      </c>
    </row>
    <row r="82">
      <c r="A82" s="2" t="inlineStr">
        <is>
          <t>DE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2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2" s="2" t="inlineStr">
        <is>
          <t>no — הרווחים קרובים לשפל ולא לשיא: רווח נקי FY23 10.17B, FY25 5.03B, תחזית FY26 4.75–5.00B.</t>
        </is>
      </c>
      <c r="H82" s="2" t="inlineStr">
        <is>
          <t>none</t>
        </is>
      </c>
      <c r="I82" s="2" t="inlineStr">
        <is>
          <t>מובילה עולמית בציוד חקלאי עם יתרון בחקלאות מדייקת ורשת דילרים; מרווחי סגמנטים 12-18% גם בשפל</t>
        </is>
      </c>
      <c r="J82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2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2" s="2" t="inlineStr">
        <is>
          <t>עובדה (EDGAR): FCF TTM 6.0B, חיובי ב-5 מתוך 5 שנים.</t>
        </is>
      </c>
      <c r="M82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2" s="2" t="inlineStr">
        <is>
          <t>עובדה (EDGAR): share_chg3 -7.3%, SBC 0.3%. רכישות 0.70B ודיבידנד 1.75B ב-TTM.</t>
        </is>
      </c>
      <c r="O82" s="2" t="inlineStr">
        <is>
          <t>מחזור חקלאי ומחירי סחורות, מכסים (Q3/26 נרשמו החזרים של 110M), תחרות, רגולציית right-to-repair</t>
        </is>
      </c>
      <c r="P82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3">
      <c r="A83" s="2" t="inlineStr">
        <is>
          <t>DUK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ללא עובדה חדשה: WATCH נשמר — ROE של EDGAR 9.4% עדיין מתחת לרף 10% ואין קוד תקף.</t>
        </is>
      </c>
      <c r="F83" s="2" t="inlineStr">
        <is>
          <t>FAIR — close 124.96$, P/E TTM 18.9, ~18.7x על אמצע הנחיית EPS מותאם 2026 (6.55-6.80); FCF yield -3.4% (מבני, capex).</t>
        </is>
      </c>
      <c r="G83" s="2" t="inlineStr">
        <is>
          <t>no — רווחים מפוקחים על בסיס תעריפים. ההכנסות לא בשיא מחזורי; הסיכון הוא מזג אוויר וסערות, לא מחזור עסקי.</t>
        </is>
      </c>
      <c r="H83" s="2" t="inlineStr">
        <is>
          <t>none קשה — FCF שלילי ומינוף מבניים ליוטיליטי. מינוף לעקוב.</t>
        </is>
      </c>
      <c r="I83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3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3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3" s="2" t="inlineStr">
        <is>
          <t>עובדה (EDGAR): OCF חיובי ב-5 מתוך 5 שנים. FCF TTM -3.3B, כי capex של 15.0B גדול מ-OCF של 11.7B. זה מבני ליוטיליטי בצמיחה.</t>
        </is>
      </c>
      <c r="M83" s="2" t="inlineStr">
        <is>
          <t>עובדה (EDGAR): ND/EBITDA 4.77 (עובר את רף UTIL ≤6), כיסוי ריבית 2.43 (עובר ≥2). חוב 89.8B.</t>
        </is>
      </c>
      <c r="N83" s="2" t="inlineStr">
        <is>
          <t>עובדה (EDGAR): share_chg3 +1.2%, SBC 0. דיבידנד ~3.3B, 20+ שנות עלייה (חברה). ATM של 600M.</t>
        </is>
      </c>
      <c r="O83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3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4">
      <c r="A84" s="2" t="inlineStr">
        <is>
          <t>HON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4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4" s="2" t="inlineStr">
        <is>
          <t>partly — אוטומציה תעשייתית ובניינים מחזוריים במתינות; אין עדות לשיא רווחים, המרווחים משתפרים מבסיס חלש.</t>
        </is>
      </c>
      <c r="H84" s="2" t="inlineStr">
        <is>
          <t>none</t>
        </is>
      </c>
      <c r="I84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4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4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4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4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4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4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4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5">
      <c r="A85" s="2" t="inlineStr">
        <is>
          <t>KLAC</t>
        </is>
      </c>
      <c r="B85" s="2" t="inlineStr">
        <is>
          <t>CORE-ELIGIBLE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דוח Q1/FY27 (הכנסות +29%) מחזק את D1 — EPS TTM 3.99$ = 1.81x ממוצע 5 שנים בענף semicap — ולכן WATCH נשמר; העלייה של 15% במחיר לא משנה דבר.</t>
        </is>
      </c>
      <c r="F85" s="2" t="inlineStr">
        <is>
          <t>EXPENSIVE — close 167.95$, P/E TTM 45.9, FCF yield 1.7%, שווי 222B (current_state 29.10.2026); מכפיל פרמיום על רווחי שיא מחזור אבל הכנסות +29% והנחיה +43% YoY — לא UNJUSTIFIABLE.</t>
        </is>
      </c>
      <c r="G85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5" s="2" t="inlineStr">
        <is>
          <t>D1 שיא מחזורי (EPS TTM 9/2026 ‏3.99 = 1.81x ממוצע FY21–25, semicap). אין דגל אדום קשיח (D3).</t>
        </is>
      </c>
      <c r="I85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5" s="2" t="inlineStr">
        <is>
          <t>עובדה: הכנסות 9.21B (FY22) → 13.58B (FY26). עובדה (8-K 28.10.2026): Q1/FY27 (ספט' 2026) הכנסות 4.14B (+29% YoY, +13% QoQ), מעל אמצע ההנחיה 4.0B; הנחיית Q2/FY27: הכנסות 4.7B ±0.2B, EPS GAAP 1.41 ±0.11.</t>
        </is>
      </c>
      <c r="K85" s="2" t="inlineStr">
        <is>
          <t>עובדה (8-K 28.10): רווח תפעולי GAAP Q1/FY27 ~1.86B (+39%, חישוב מהשורות), רווח נקי 1.55B (+38%), EPS 1.18 (מ-0.85); GM non-GAAP מונחה 62.5%.</t>
        </is>
      </c>
      <c r="L85" s="2" t="inlineStr">
        <is>
          <t>עובדה (8-K 28.10): FCF Q1/FY27 1.34B (מ-1.07B), FCF TTM 4.04B; OCF TTM 4.51B.</t>
        </is>
      </c>
      <c r="M85" s="2" t="inlineStr">
        <is>
          <t>עובדה: חוב 6.15B$, מזומן 4.9B$, Net debt/EBITDA 0.74, כיסוי ריבית 19.9x; הון עצמי דק (6.35B$) בגלל רכישות — ROE 85% מנופח.</t>
        </is>
      </c>
      <c r="N85" s="2" t="inlineStr">
        <is>
          <t>עובדה (8-K 28.10): החזר 1.24B ברבעון (רכישות 936M + דיבידנד 305M), TTM 3.79B; מניות מדוללות 1,311M מול 1,324M שנה קודם (-1%).</t>
        </is>
      </c>
      <c r="O85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5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 | KLA Q1 FY2027 results — 8-K Exhibit 99.1 (2026-10-28) https://www.sec.gov/Archives/edgar/data/0000319201/000031920126000032/exhibit991earningsrelease0.htm</t>
        </is>
      </c>
    </row>
    <row r="86">
      <c r="A86" s="2" t="inlineStr">
        <is>
          <t>LOW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Weekly check: nothing new since 14.10; growth failure (rev_cagr3 -1.0%, sev 2) still has no valid code and D2 is clean — WATCH stands.</t>
        </is>
      </c>
      <c r="F86" s="2" t="inlineStr">
        <is>
          <t>FAIR — P/E TTM 15.9, FCF yield 6.6% (current_state); חישוב שלי: ~15.4x על EPS מותאם FY26 של ~12.25$.</t>
        </is>
      </c>
      <c r="G86" s="2" t="inlineStr">
        <is>
          <t>no — הרווחים קרובים לשפל מחזורי של שוק הדיור (comps שטוחים, EPS שטוח 5 שנים), לא לשיא.</t>
        </is>
      </c>
      <c r="H86" s="2" t="inlineStr">
        <is>
          <t>none</t>
        </is>
      </c>
      <c r="I86" s="2" t="inlineStr">
        <is>
          <t>עובדה: דואופול שיפוצי בית בארה"ב עם HD; שני ומפגר ב-Pro, ולכן רכש את FBM (8.8B$) ו-ADG כדי לחזק את Pro.</t>
        </is>
      </c>
      <c r="J86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6" s="2" t="inlineStr">
        <is>
          <t>מדד מתאים לקמעונאות: ROIC TTM 30% (EDGAR), מרווח תפעולי 11.4% TTM, יציב 11-12%; EPS מדולל שטוח ~12$ מאז FY21 (12.04→11.85).</t>
        </is>
      </c>
      <c r="L86" s="2" t="inlineStr">
        <is>
          <t>עובדה: FCF חיובי בכל 5 השנים, TTM 7.0B$; capex עד 2.5B$ ב-FY26.</t>
        </is>
      </c>
      <c r="M86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6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6" s="2" t="inlineStr">
        <is>
          <t>תחרות מול HD ב-Pro; סיכון אינטגרציה FBM/ADG; מינוף גבוה יותר אם הדיור יישאר חלש; מכסים.</t>
        </is>
      </c>
      <c r="P86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7">
      <c r="A87" s="2" t="inlineStr">
        <is>
          <t>LRCX</t>
        </is>
      </c>
      <c r="B87" s="2" t="inlineStr">
        <is>
          <t>CORE-ELIGIBLE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7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7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7" s="2" t="inlineStr">
        <is>
          <t>D1 שיא מחזורי (EPS 1.76x ממוצע 5 שנים, semicap).</t>
        </is>
      </c>
      <c r="I87" s="2" t="inlineStr">
        <is>
          <t>עובדה: מובילה ב-etch ו-deposition, במיוחד ב-NAND (שכבות 200→500+; SAM לוופר מוכפל) ו-HBM/GAA; שירותים (CSBG) 2.47B$ ברבעון Q4/FY26.</t>
        </is>
      </c>
      <c r="J87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7" s="2" t="inlineStr">
        <is>
          <t>עובדה: GM 50.5%, מרווח תפעולי 35.3%, ROIC 40.8% — שיא היסטורי. [Q1-FY27] GM 52.3%, מרווח תפעולי 40.0% — שיא חדש.</t>
        </is>
      </c>
      <c r="L87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7" s="2" t="inlineStr">
        <is>
          <t>עובדה: חוב 4.12B$, מזומן 5.58B$ — מזומן נטו; כיסוי ריבית 66x. חזק מאוד.</t>
        </is>
      </c>
      <c r="N87" s="2" t="inlineStr">
        <is>
          <t>עובדה: רכישות 3.85B$ + דיבידנד 1.27B$ ב-FY26; מניות 1.41→1.26 (‎-11% ב-4 שנים).</t>
        </is>
      </c>
      <c r="O87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7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8">
      <c r="A88" s="2" t="inlineStr">
        <is>
          <t>MDT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Weekly check: MiniMed split-off completed 15.10 (new fact) but it triggers no code — the ROIC failure (6.4%, sev 2) has no corrected number and D2 is clean — WATCH stands.</t>
        </is>
      </c>
      <c r="F88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8" s="2" t="inlineStr">
        <is>
          <t>no — מכשור רפואי לא מחזורי; הרווחים מתאוששים משפל FY23-24, לא בשיא.</t>
        </is>
      </c>
      <c r="H88" s="2" t="inlineStr">
        <is>
          <t>none</t>
        </is>
      </c>
      <c r="I88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8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8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8" s="2" t="inlineStr">
        <is>
          <t>FCF יציב 4.6-6.0B בשנה, 5.4B ב-FY26; איכותי ועולה בהתאם לרווח.</t>
        </is>
      </c>
      <c r="M88" s="2" t="inlineStr">
        <is>
          <t>חוב 28.0B, מזומן 9.2B, חוב נטו/EBITDA 2.6, כיסוי ריבית 9.4 — סביר אך לא חזק.</t>
        </is>
      </c>
      <c r="N88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8" s="2" t="inlineStr">
        <is>
          <t>השפעת GLP-1 על פרוצדורות, תחרות ב-PFA ובאבלציה, Hugo מול Intuitive, סיכוני איכות/רגולציה, ביצוע הפרדת MiniMed.</t>
        </is>
      </c>
      <c r="P88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89">
      <c r="A89" s="2" t="inlineStr">
        <is>
          <t>META</t>
        </is>
      </c>
      <c r="B89" s="2" t="inlineStr">
        <is>
          <t>CORE-ELIGIBLE</t>
        </is>
      </c>
      <c r="C89" s="2" t="inlineStr">
        <is>
          <t>WATCH</t>
        </is>
      </c>
      <c r="D89" s="2" t="inlineStr">
        <is>
          <t>כן</t>
        </is>
      </c>
      <c r="E89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89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89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89" s="2" t="inlineStr">
        <is>
          <t>none קשיח. דגלים צהובים: שחיקת FCF בגלל capex $130-145B, עלייה בחוב, חשיפה משפטית מתמשכת.</t>
        </is>
      </c>
      <c r="I89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89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89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89" s="2" t="inlineStr">
        <is>
          <t>עובדה: FCF Q3 2026 −$2.12B (capex $34.91B); 9 חודשים: OCF $96.9B, capex $83.1B. הנחיית capex 2026: $135–145B. אין רכישות עצמיות ב-2026.</t>
        </is>
      </c>
      <c r="M89" s="2" t="inlineStr">
        <is>
          <t>עובדה: חוב לז"א $80.9B (מ-$58.7B בסוף 2025, הנפקה $24.9B), מזומן וני"ע $82.5B. התחייבויות משפטיות צבורות $19.9B (מ-$7.3B).</t>
        </is>
      </c>
      <c r="N89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89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89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0">
      <c r="A90" s="2" t="inlineStr">
        <is>
          <t>MU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0" s="2" t="inlineStr">
        <is>
          <t>FAIR — מחיר 877.11$, P/E TTM 11.8, FCF yield 5.9%, שווי 1.00T (current_state 24.10); מכפיל נמוך על רווחי שיא מחזור — לא UNJUSTIFIABLE.</t>
        </is>
      </c>
      <c r="G90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0" s="2" t="inlineStr">
        <is>
          <t>none (לפי הגדרות הפרוטוקול). אזהרה: הרווח הנוכחי הוא כמעט בוודאות רווח שיא מחזורי, לא בסיס לנרמול</t>
        </is>
      </c>
      <c r="I90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0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0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0" s="2" t="inlineStr">
        <is>
          <t>FCF FY26 59.0B (FY25 1.7B, FY23 שלילי -6.1B). capex FY27 צפוי מעל 50B (Rosenblatt) — עצימות הון גבוהה מאוד</t>
        </is>
      </c>
      <c r="M90" s="2" t="inlineStr">
        <is>
          <t>חוב 5.2B, מזומן נטו 68.3B לפי ההנהלה; דירוג BBB+. מאזן חזק מאוד</t>
        </is>
      </c>
      <c r="N90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0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0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1">
      <c r="A91" s="2" t="inlineStr">
        <is>
          <t>NEE</t>
        </is>
      </c>
      <c r="B91" s="2" t="inlineStr">
        <is>
          <t>NON-CORE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1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1" s="2" t="inlineStr">
        <is>
          <t>partly — הליבה המפוקחת אינה מחזורית; NEER חשופה לריבית, מדיניות זיכויי מס ומחירי ציוד.</t>
        </is>
      </c>
      <c r="H91" s="2" t="inlineStr">
        <is>
          <t>מינוף מעל רף UTIL (6.45) עם כיסוי 2.11. דילול מהותי צפוי ממיזוג Dominion במניות.</t>
        </is>
      </c>
      <c r="I91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1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1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1" s="2" t="inlineStr">
        <is>
          <t>עובדה (EDGAR): OCF חיובי ב-5 מתוך 5 שנים (TTM 12.3B). ה-capex לא דווח בתגית, ולכן ה-FCF במסך הוא OCF ומנופח.</t>
        </is>
      </c>
      <c r="M91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1" s="2" t="inlineStr">
        <is>
          <t>עובדה (EDGAR): share_chg3 +4.35% (עובר את ≤5%, אבל קרוב). מיזוג Dominion כולו במניות (חברה) צפוי להפיל את מבחן הדילול.</t>
        </is>
      </c>
      <c r="O91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1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2">
      <c r="A92" s="2" t="inlineStr">
        <is>
          <t>NOW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New Q3 2026 report: GAAP operating income on the last two quarters fell 41% YoY (547M vs 930M) and margin fell 7.3pp, triggering D2 -&gt; WATCH.</t>
        </is>
      </c>
      <c r="F92" s="2" t="inlineStr">
        <is>
          <t>EXPENSIVE — close 109.65, P/E GAAP TTM 67.9, FCF yield TTM 4.04% (current_state 30.10); ~20% subscription growth and 36% FCF-margin guide do not make it UNJUSTIFIABLE.</t>
        </is>
      </c>
      <c r="G92" s="2" t="inlineStr">
        <is>
          <t>no — הכנסות מנויים חוזרות; אין רווח שיא מחזורי.</t>
        </is>
      </c>
      <c r="H92" s="2" t="inlineStr">
        <is>
          <t>D2 triggered: GAAP operating income on the last 2 quarters -41%, margin -7.3pp (acquisition amortization, SBC, severance — none is a U2-recognised one-time item).</t>
        </is>
      </c>
      <c r="I92" s="2" t="inlineStr">
        <is>
          <t>עובדה: פלטפורמת workflow ארגונית מובילה (ITSM ומעבר), עלות מעבר גבוהה; RPO 29.0B$ (+21%), cRPO 13.2B$ (+21%).</t>
        </is>
      </c>
      <c r="J92" s="2" t="inlineStr">
        <is>
          <t>Fact: revenue 5.9B-&gt;13.3B (2021-2025). Q3 2026 (release 28.10.2026): revenue 4,106M (+20.5%), subscription 3,988M (+21%), cRPO 13.65B (+20.5%). Guidance RAISED: FY26 subscription 15.78-15.79B (+22.5%), FCF margin 36% (+100bp); Q4 cRPO cc +18.5%. Part of 2026 growth is acquired (Armis, Moveworks).</t>
        </is>
      </c>
      <c r="K92" s="2" t="inlineStr">
        <is>
          <t>Fact: GAAP operating income Q3 2026 385M (9.5% margin) vs 572M (16.8%) a year earlier; Q2 2026 162M (4.1%). Drivers (release reconciliation, Q3): SBC 633M (vs 492M), amortization of purchased intangibles 198M (vs 33M), severance 87M (vs 24M), business-combination costs 35M (vs 19M). Non-GAAP op margin 32.5%. ROIC 8.6% (EDGAR TTM 6/2026).</t>
        </is>
      </c>
      <c r="L92" s="2" t="inlineStr">
        <is>
          <t>Fact: Q3 2026 OCF 839M (vs 813M), non-GAAP FCF 822M (20% margin); 9M 2026 FCF 3.12B. SBC Q3 633M = 15.4% of revenue.</t>
        </is>
      </c>
      <c r="M92" s="2" t="inlineStr">
        <is>
          <t>Fact: 9M 2026 acquisitions 9.2B; goodwill 3.6B-&gt;10.0B and intangibles 1.1B-&gt;3.6B since YE2025. nd_ebitda ~1.1 (EDGAR TTM 6/2026) — passes.</t>
        </is>
      </c>
      <c r="N92" s="2" t="inlineStr">
        <is>
          <t>Fact: no buybacks in Q3 2026 (vs 584M); FY26 diluted shares guided 1.04B (~flat); sbc_rev TTM 14.8%, Q3 15.4%.</t>
        </is>
      </c>
      <c r="O92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2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 | ServiceNow Reports Third Quarter 2026 Financial Results (press release) (2026-10-28) https://newsroom.servicenow.com/press-releases/details/2026/ServiceNow-Reports-Third-Quarter-2026-Financial-Results/default.aspx | ServiceNow Form 8-K Q3 2026 earnings release (SEC) (2026-10-28) https://www.sec.gov/Archives/edgar/data/0001373715/000137371526000092/erq3fy26.htm | ServiceNow Form 8-K/A Q3 2026 (SEC; content not readable here) (2026-10) https://www.sec.gov/Archives/edgar/data/0001373715/000137371526000095/erq3fy262.htm | ServiceNow Stock Plunges 18% Despite 'Another Beat-And-Raise Quarter' (TipRanks) (2026-10-29) https://www.tipranks.com/news/servicenow-stock-plunges-18-despite-another-beat-and-raise-quarter</t>
        </is>
      </c>
    </row>
    <row r="93">
      <c r="A93" s="2" t="inlineStr">
        <is>
          <t>QCOM</t>
        </is>
      </c>
      <c r="B93" s="2" t="inlineStr">
        <is>
          <t>CORE-ELIGIBLE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3" s="2" t="inlineStr">
        <is>
          <t>FAIR — מחיר 175.92$, P/E TTM 20.3, FCF yield 5.5%, שווי 188B (current_state 24.10); לא UNJUSTIFIABLE.</t>
        </is>
      </c>
      <c r="G93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3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3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3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3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3" s="2" t="inlineStr">
        <is>
          <t>עובדה (EDGAR): FCF חיובי בכל 5 השנים; FY25 12.8B, TTM 10.4B (OCF 12.4B פחות capex 2.0B) — ירד אך חזק. FCF yield TTM 5.5%.</t>
        </is>
      </c>
      <c r="M93" s="2" t="inlineStr">
        <is>
          <t>עובדה (EDGAR): ND/EBITDA 0.42, כיסוי ריבית 14.9 — חזק.</t>
        </is>
      </c>
      <c r="N93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3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3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Q3-2026 report (28.10): operating income +25% and guidance raised, but the interest-cover failure persists (TTM 4.66 &lt; 5) and no U code applies; no D code — WATCH stands.</t>
        </is>
      </c>
      <c r="F95" s="2" t="inlineStr">
        <is>
          <t>ATTRACTIVE — current_state 29.10: close 147.40, P/E TTM 15.1, FCF yield 11.5%, mkt cap 159.5B.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 | Q3-2026 (28.10): total revenue 23.58B (+7.4%), service revenue 19.38B (+6.2%), operating income 5.66B (+25%); FY2026 core adj EBITDA 37.35-37.45B, adj FCF 18.7-18.8B (midpoints raised).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 | T-Mobile Q3 2026 earnings release (8-K Ex.99.1) (2026-10-28) https://www.sec.gov/Archives/edgar/data/0001283699/000128369926000128/tmus09302026ex991.htm | T-Mobile Q3 2026 investor factbook (8-K Ex.99.2) (2026-10-28) https://www.sec.gov/Archives/edgar/data/0001283699/000128369926000128/tmus09302026ex992.htm | core/current_state.json state 2026-10-29 (2026-10-29) file:core/current_state.json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בדיקה שבועית: אין 8-K/דוח חדש מאז 14.10, אין קוד — נשאר WATCH (כשל PROFIT אמיתי).</t>
        </is>
      </c>
      <c r="F96" s="2" t="inlineStr">
        <is>
          <t>ATTRACTIVE — P/E TTM 14.3, FCF yield 7.4% (current_state 23.10.2026, מחיר $66.68).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בדיקה שבועית: רק 8-K 'earnings considerations' (לא דוח), אין קוד — נשאר WATCH; D1 ייבדק עם דוח Q3 ב-30.10.</t>
        </is>
      </c>
      <c r="F98" s="2" t="inlineStr">
        <is>
          <t>EXPENSIVE — P/E TTM 23.3, FCF yield 4.0% (current_state 23.10.2026, מחיר $183.21); רווחי 2026 קרובים לשיא מחזורי.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דוח Q3 2026 לא משנה: כשל הרווחיות ההיסטורי (3 שנות הפסד מתוך 5, חומרה 3) נשאר בלי קוד U, ואין קוד D (רווח מיוחס 2 רבעונים +9%).</t>
        </is>
      </c>
      <c r="F107" s="2" t="inlineStr">
        <is>
          <t>EXPENSIVE — מחיר 91.41$ (current_state 28.10): P/E TTM 40.2 (רווח מיוחס TTM ~1.98B: 605+350+561+468M, שווי 83.4B ≈ 42x), ~30x על קונצנזוס EPS 2027 (~3.01, הערכה). יקר לרווחים מחזוריים, לא בלתי-מוצדק.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Q3 2026 (8-K 27.10.2026): הכנסות 1,424M (+12%), 9 חודשים 3,799M (+19%); לקוחות ממומנים 28.7M (+7%), נכסי פלטפורמה 396B (+19%), הפקדות נטו 15.7B ברבעון (71.0B ב-TTM). קונצנזוס הכנסות 2026/2027 (הערכה מהסקירה הקודמת): 5.3/6.9 מיליארד $.</t>
        </is>
      </c>
      <c r="K107" s="2" t="inlineStr">
        <is>
          <t>הפסדים ב-2021-2023 (הפסד נקי 3.7- מיליארד $ ב-2021). Q3 2026: רווח לפני מס 625M (-1%), רווח נקי מיוחס 468M (-16%), EPS מדולל 0.51 (-16%), כולל הפסד לא ממומש 67M מקרן Ventures; Adjusted EBITDA 808M (+9%). הוצאות תפעול GAAP +16% מול הכנסות +12%. הנחיית הוצאות מתואמות+SBC 2026 קוצצה בקצה העליון ל-2.675–2.75B.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 Q3 2026: מניות מדוללות 911M (918M ב-Q3 2025, -1%).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 | Robinhood Q3 2026 results — 8-K Ex.99.1 (SEC) (2026-10-27) https://www.sec.gov/Archives/edgar/data/0001783879/000178387926000164/q32026robinhoodexhibit991.htm | Robinhood Q3 2026 results — 8-K/A amended Ex.99.1 (SEC; same headline figures) (2026-10-27) https://www.sec.gov/Archives/edgar/data/0001783879/000178387926000170/q32026robinhoodamendedex991.htm | Robinhood 10-Q Q3 2026 (SEC) (2026-10) https://www.sec.gov/Archives/edgar/data/0001783879/000178387926000167/hood-20260930.htm | core/current_state.json (close, pe_ttm, market_cap) state 2026-10-28 (2026-10-28) file:core/current_state.json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ללא עובדה חדשה: NON-CORE (חומרה 17) נשמר; דוח Q3 יפורסם 29.10.</t>
        </is>
      </c>
      <c r="F108" s="2" t="inlineStr">
        <is>
          <t>UNJUSTIFIABLE — close 86.97$, אין P/E (הפסד GAAP TTM), FCF yield 0.6% (current_state 2026-10-23).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Reported (unconfirmed) Lumentum talks are not a code-triggering fact; three failures remain uncorrected — NON-CORE stands.</t>
        </is>
      </c>
      <c r="F110" s="2" t="inlineStr">
        <is>
          <t>EXPENSIVE — close 218.2, P/E TTM 76.1, FCF yield TTM 0.86%, market cap 201.0B (current_state 30.10). Does not affect the label (already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 News 29.10.2026 (Bloomberg, via TipRanks): reportedly in late-stage talks to acquire Lumentum (Lumentum market cap ~83B); not confirmed, no 8-K, terms unknown — a stock-funded deal of that size would raise dilution further.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 | Marvell Stock (MRVL) Sinks 15% on Lumentum Buyout Talks (TipRanks, citing Bloomberg) (2026-10-29) https://www.tipranks.com/news/marvell-stock-mrvl-sinks-15-on-lumentum-acquisition-talks-heres-what-analysts-see | MRVL Stock Sinks as Marvell Technology Reportedly Considers Acquiring Lumentum (Yahoo Finance) (2026-10-29) https://finance.yahoo.com/markets/stocks/articles/mrvl-stock-sinks-marvell-technology-184304215.html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Weekly check: only BTC-purchase / preferred-buyback 8-Ks since 13.10, still funded by common issuance; all six failures remain without a code — NON-CORE stands.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ברירת המחדל NON-CORE נשארת: הפסדים כרוניים ודילול ללא U-קוד; אין עובדה חדשה מאז 13.10 (דוח Q3 ב-29.10).</t>
        </is>
      </c>
      <c r="F115" s="2" t="inlineStr">
        <is>
          <t>EXPENSIVE — מחיר 52.88$, אין P/E (הפסד), FCF yield 4.3% (לפני SBC), שווי 37.9B (current_state 24.10).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דוח Q3 חזק (רווח נקי +73%, הנחיה הועלתה) אבל הדילול (+5.2% מניות בשנה) נשאר כשל ללא קוד מותר — נשאר NON-CORE.</t>
        </is>
      </c>
      <c r="F118" s="2" t="inlineStr">
        <is>
          <t>EXPENSIVE — current_state 27.10: מחיר 16.40$, P/E TTM 34.8; ~18x תחזית adj EPS 2027 (0.90$), ROTCE ~10%.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 [Q3-26, 27.10.2026] הכנסות נטו GAAP 1.385B (+44%), חברים 17.1M (+35%). הנחיה 2026 הועלתה: adj net revenue ~5.04B, רווח נקי ~840M, adj EPS ~0.61; תחזית 2027: adj net revenue ~6.4B, adj EPS ~0.90.</t>
        </is>
      </c>
      <c r="K118" s="2" t="inlineStr">
        <is>
          <t>מדד מתאים לבנק: ROE TTM ~6.2% (ROTCE לא דווח) — נמוך. CET1 18.7% (חזק). Net income Q2 2026 157 מיליון; EPS 0.12. [Q3-26] רווח נקי 241M (+73%), EPS 0.18; ROTCE ~10% (רבעון בודד, לפי החברה).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 [Q3-26] מניות מדוללות ממוצעות 1,357.8M מול 1,291.0M ב-Q3-25 (+5.2% YoY) — הדילול נמשך.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 | SoFi Reports Third Quarter 2026 (net revenue 1,385M, net income 241M, diluted shares 1,357.8M, raised 2026 guidance, 2027 outlook) (2026-10-27) https://investors.sofi.com/news/news-details/2026/SoFi-Reports-Third-Quarter-2026-with-Record-Net-Revenue-of-1-4-Billion-Net-Income-of-241-Million-and-Raises-Full-Year-Guidance/default.aspx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אין עובדה חדשה שמפעילה קוד מאז 22.10 (רק תזוזת מחיר ודיווח על SpaceX); נשאר NON-CORE עם שלושה כשלים אמיתיים (ROIC 8.0%, כיסוי ריבית 3.56, צמיחה 1.6%).</t>
        </is>
      </c>
      <c r="F119" s="2" t="inlineStr">
        <is>
          <t>ATTRACTIVE — מחיר 20.725$ (current_state 28.10): P/E TTM 10.8 (עלה מ-7.1 בגלל הפחתת מקסיקו 2.6B ב-Q3), FCF yield 12.6%, שווי 141.8B; הנחיית FCF 2026 18B+.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 | What Just Happened To AT&amp;T Stock? (Trefis) — -8.0% on 23.10 on SpaceX cell-site access report; no AT&amp;T 8-K/guidance change (2026-10-25) https://www.trefis.com/stock/t/articles/620542/what-just-happened-to-att-stock/2026-10-25 | AT&amp;T stock falls after analyst downgrade (MarketBeat) — not a valid code (2026-10-23) https://www.marketbeat.com/instant-alerts/price-att-nyse-t-stock-falls-78-after-analyst-downgrade-2026-10-23/ | SEC EDGAR companyfacts T (core/sec/T.json fetched 2026-10-24, incl. Q3 2026 10-Q) — D2/D3 (2026-10-24) https://data.sec.gov/api/xbrl/companyfacts/CIK0000732717.json | core/current_state.json state 2026-10-28 (2026-10-28) file:core/current_state.json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הקמת ועדות המיזוג עם SpaceX (20.10) היא בחינה ללא תנאים ואינה קוד, והירידה ברווחים (Q3/26 רווח תפעולי ‎-56%) כבר מגולמת; ברירת המחדל NON-CORE ללא קוד שדרוג.</t>
        </is>
      </c>
      <c r="F120" s="2" t="inlineStr">
        <is>
          <t>UNJUSTIFIABLE — P/E TTM ‏409.6, FCF yield ‏0.25%, שווי שוק 1.32T$ (current_state 23.10, מחיר 372.22$)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דוח Q3/26 (26.10): הכנסות +1.5%, רווח תפעולי +6.7%, הנחיה הועלתה — שום עובדה חדשה לא מפעילה U1–U3 (הכשלים במאזן/ROIC/צמיחה נשארים) ולא D — נשאר NON-CORE.</t>
        </is>
      </c>
      <c r="F121" s="2" t="inlineStr">
        <is>
          <t>ATTRACTIVE — P/E TTM 11.1 (current_state 26.10.2026, מחיר $43.11); FCF 2026 מונחה ~22.5B על שווי שוק ~180B ≈ 12.5%.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 Q3/26 (8-K 26.10.2026): הכנסות 34.31B מול 33.82B (+1.5%); 9M26 103.0B מול 101.8B (+1.2%).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 Q3/26: רווח תפעולי 8.65B מול 8.105B (+6.7%), מרווח 25.2% מול 24.0%; EBITDA מתואם 13.8B (+8.0%).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 9M26 (חברה): OCF 29.9B, capex 11.9B, FCF 18.0B (+14.3%); הנחיית FCF 2026 הועלתה ל-22.44–22.54B.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 30.9.2026: חוב לא מובטח נטו 123.7B (מ-128.7B ב-30.6), 2.3x EBITDA מתואם; חוב כולל 166.2B.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 | Verizon 8-K Ex-99 3Q26 earnings release (SEC) — rev 34,313M, OI 8,650M (2026-10-26) https://www.sec.gov/Archives/edgar/data/0000732712/000073271226000049/a2026q3exhibit99.htm | Verizon delivers another record-breaking quarter with 3Q 2026 results – StockTitan (2026-10-26) https://www.stocktitan.net/news/VZ/verizon-delivers-another-record-breaking-quarter-with-3q-2026-07k6lglbso2l.html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ל-2026-10-29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ל-2026-10-29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2026-10-30T03:54:57Z</dcterms:created>
  <dcterms:modified xmlns:dcterms="http://purl.org/dc/terms/" xmlns:xsi="http://www.w3.org/2001/XMLSchema-instance" xsi:type="dcterms:W3CDTF">2026-10-30T03:54:57Z</dcterms:modified>
</cp:coreProperties>
</file>