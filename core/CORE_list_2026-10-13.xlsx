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ist" sheetId="1" state="visible" r:id="rId3"/>
    <sheet name="Rules" sheetId="2" state="visible" r:id="rId4"/>
    <sheet name="Data" sheetId="3" state="visible" r:id="rId5"/>
    <sheet name="Raw_FY" sheetId="4" state="visible" r:id="rId6"/>
  </sheets>
  <definedNames>
    <definedName function="false" hidden="true" localSheetId="0" name="_xlnm._FilterDatabase" vbProcedure="false">List!$A$1:$W$121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<sst xmlns="http://schemas.openxmlformats.org/spreadsheetml/2006/main" count="2614" uniqueCount="656">
  <si>
    <t xml:space="preserve">סימול</t>
  </si>
  <si>
    <t xml:space="preserve">שם</t>
  </si>
  <si>
    <t xml:space="preserve">מחלקה</t>
  </si>
  <si>
    <t xml:space="preserve">תווית</t>
  </si>
  <si>
    <t xml:space="preserve">מספר כישלונות</t>
  </si>
  <si>
    <t xml:space="preserve">1 רווחיות</t>
  </si>
  <si>
    <t xml:space="preserve">2 תזרים</t>
  </si>
  <si>
    <t xml:space="preserve">3 תשואה על ההון</t>
  </si>
  <si>
    <t xml:space="preserve">4 מאזן</t>
  </si>
  <si>
    <t xml:space="preserve">5 צמיחה</t>
  </si>
  <si>
    <t xml:space="preserve">6 דילול</t>
  </si>
  <si>
    <t xml:space="preserve">סיבת הכישלון</t>
  </si>
  <si>
    <t xml:space="preserve">Risk Tier</t>
  </si>
  <si>
    <t xml:space="preserve">תקרת פוזיציה CORE</t>
  </si>
  <si>
    <t xml:space="preserve">Cheap Score</t>
  </si>
  <si>
    <t xml:space="preserve">רבעון זול</t>
  </si>
  <si>
    <t xml:space="preserve">SMA200 עולה</t>
  </si>
  <si>
    <t xml:space="preserve">Cheap Score שמיש לשיטה</t>
  </si>
  <si>
    <t xml:space="preserve">שווי מול עצמה</t>
  </si>
  <si>
    <t xml:space="preserve">P/E מול חציון עצמי</t>
  </si>
  <si>
    <t xml:space="preserve">FCF yield</t>
  </si>
  <si>
    <t xml:space="preserve">ADR60</t>
  </si>
  <si>
    <t xml:space="preserve">Max DD (5 שנים)</t>
  </si>
  <si>
    <t xml:space="preserve">HIGH</t>
  </si>
  <si>
    <t xml:space="preserve">Q2</t>
  </si>
  <si>
    <t xml:space="preserve">כן</t>
  </si>
  <si>
    <t xml:space="preserve">EXTREME</t>
  </si>
  <si>
    <t xml:space="preserve">Q3</t>
  </si>
  <si>
    <t xml:space="preserve">לא</t>
  </si>
  <si>
    <t xml:space="preserve">MEDIUM</t>
  </si>
  <si>
    <t xml:space="preserve">Q4</t>
  </si>
  <si>
    <t xml:space="preserve">LOW</t>
  </si>
  <si>
    <t xml:space="preserve">Q1</t>
  </si>
  <si>
    <t xml:space="preserve">תווית ושווי מחושבים בנוסחאות מגיליונות Data ו־Rules. Cheap Score, Risk Tier, ADR60 ו־Max DD מה־DB שלנו נכון ל־30.9.2026. התווית היא סינון מכני בלבד — WATCH דורש קריאה של הסיבה; גם CORE לא בוחן חפיר תחרותי, הנהלה או תחזיות.</t>
  </si>
  <si>
    <t xml:space="preserve">כללי סינון CORE — הוקפאו 13.10.2026 לפני ניקוד החברות</t>
  </si>
  <si>
    <t xml:space="preserve">ספים (כחול = קלט). שינוי ספים משנה את התוויות ברשימה — לשימוש "מה אם" בלבד; הכללים הרשמיים הם הערכים האלה.</t>
  </si>
  <si>
    <t xml:space="preserve">סף</t>
  </si>
  <si>
    <t xml:space="preserve">ערך</t>
  </si>
  <si>
    <t xml:space="preserve">שולי רווח תפעולי מינימליים (STD, UTIL)</t>
  </si>
  <si>
    <t xml:space="preserve">מספר שנים מינימלי עם רווח נקי חיובי מתוך 5</t>
  </si>
  <si>
    <t xml:space="preserve">מספר שנים מינימלי עם FCF חיובי מתוך 5</t>
  </si>
  <si>
    <t xml:space="preserve">ROIC מינימלי (STD, UTIL)</t>
  </si>
  <si>
    <t xml:space="preserve">חוב נטו / EBITDA מקסימלי (STD)</t>
  </si>
  <si>
    <t xml:space="preserve">כיסוי ריבית מינימלי (STD)</t>
  </si>
  <si>
    <t xml:space="preserve">צמיחת הכנסות שנתית ממוצעת 3 שנים מינימלית</t>
  </si>
  <si>
    <t xml:space="preserve">ירידת הכנסות מקסימלית בשנה האחרונה</t>
  </si>
  <si>
    <t xml:space="preserve">גידול מקסימלי במספר המניות ב־3 שנים (דילול)</t>
  </si>
  <si>
    <t xml:space="preserve">תגמול במניות / הכנסות מקסימלי</t>
  </si>
  <si>
    <t xml:space="preserve">ROE מינימלי (FIN)</t>
  </si>
  <si>
    <t xml:space="preserve">חוב נטו / EBITDA מקסימלי (UTIL/REIT)</t>
  </si>
  <si>
    <t xml:space="preserve">כיסוי ריבית מינימלי (UTIL/REIT)</t>
  </si>
  <si>
    <t xml:space="preserve">P/E מול החציון של עצמה — מעל זה + FCF yield נמוך = "יקרה"</t>
  </si>
  <si>
    <t xml:space="preserve">FCF yield שמתחתיו נחשב נמוך</t>
  </si>
  <si>
    <t xml:space="preserve">P/E מול החציון של עצמה — מתחת לזה = "זולה"</t>
  </si>
  <si>
    <t xml:space="preserve">תקרת פוזיציית CORE — LOW/MEDIUM</t>
  </si>
  <si>
    <t xml:space="preserve">תקרת פוזיציית CORE — HIGH</t>
  </si>
  <si>
    <t xml:space="preserve">תקרת פוזיציית CORE — EXTREME</t>
  </si>
  <si>
    <t xml:space="preserve">מחלקות: FIN = בנקים, ברוקרים, ביטוח, מנהלי נכסים, בורסת קריפטו (JPM BAC WFC C GS MS SCHW SOFI HOOD AXP CB PGR BRK-B BLK BX KKR COIN). UTIL/REIT = DUK SO NEE PLD AMT. STD = כל השאר.</t>
  </si>
  <si>
    <t xml:space="preserve">1. רווחיות — STD/UTIL: שולי רווח תפעולי בשנה האחרונה ≥ הסף, ורווח נקי חיובי ב־4 מתוך 5 שנים (בכל השנים אם יש פחות מ־5). FIN: רווח נקי חיובי בכל השנים.</t>
  </si>
  <si>
    <t xml:space="preserve">2. תזרים — STD: FCF חיובי בשנה האחרונה וב־4 מתוך 5 שנים. UTIL/REIT: תזרים מפעילות חיובי בכל השנים (ההשקעות שלהן גדולות במבנה). FIN: לא רלוונטי.</t>
  </si>
  <si>
    <t xml:space="preserve">3. תשואה על ההון — STD/UTIL: ROIC = הגבוה מבין ROIC של הספק (TTM) לבין רווח תפעולי × 0.79 / (חוב + הון − מזומן). FIN: רווח נקי / הון.</t>
  </si>
  <si>
    <t xml:space="preserve">4. מאזן — STD: חוב נטו / EBITDA ≤ 3 (מזומן נטו עובר) וכיסוי ריבית ≥ 5. UTIL/REIT: ≤ 6 ו־≥ 2. FIN: לא רלוונטי.</t>
  </si>
  <si>
    <t xml:space="preserve">5. צמיחה — צמיחת הכנסות שנתית ממוצעת ב־3 השנים האחרונות ≥ 3%, וההכנסות בשנה האחרונה לא ירדו ביותר מ־5%.</t>
  </si>
  <si>
    <t xml:space="preserve">6. דילול — מספר המניות לא גדל ביותר מ־5% ב־3 שנים, ותגמול במניות ≤ 15% מההכנסות.</t>
  </si>
  <si>
    <t xml:space="preserve">תווית: CORE = עברה את כל 6. WATCH = נכשלה באחד — דורשת קריאה אנושית של הסיבה לפני שתהיה CORE. NON-CORE = נכשלה ב־2 ומעלה.</t>
  </si>
  <si>
    <t xml:space="preserve">שווי (מידע בלבד, לא משנה את התווית): P/E נוכחי חלקי החציון של ה־P/E השנתי של החברה עצמה.</t>
  </si>
  <si>
    <t xml:space="preserve">Cheap Score (מה־DB שלנו, נכון ל־30.9.2026): לפי NEW_PROTOCOL. נבדק היסטורית רק כש־SMA200 עולה; כשהוא יורד — מחוץ לתנאי הבדיקה, ולכן מסומן "לא רלוונטי".</t>
  </si>
  <si>
    <t xml:space="preserve">מגבלות: הספים לא נבדקו היסטורית (אין נתוני דוחות point-in-time) — זה מסנן איכות, לא טענה ל־edge. תחזיות אנליסטים לרוב על בסיס מותאם (לא GAAP) ולכן מוצגות בלבד. TSM בדולר טייוואני ו־ASML באירו — היחסים לא מושפעים. סף שולי רווח 10% מפיל עסקים עם שוליים נמוכים מטבעם (COST, WMT, ביטוח בריאות) — לכן הם WATCH ולא NON-CORE אוטומטית.</t>
  </si>
  <si>
    <t xml:space="preserve">מקור הנתונים: Bigdata.com (https://bigdata.com), ספק FMP, דוחות שנתיים, נשלף 13.10.2026. סיכון ותקרות: risk_engine.csv מה־DB שלנו (5 שנים).</t>
  </si>
  <si>
    <t xml:space="preserve">סקטור</t>
  </si>
  <si>
    <t xml:space="preserve">תעשייה</t>
  </si>
  <si>
    <t xml:space="preserve">מטבע</t>
  </si>
  <si>
    <t xml:space="preserve">סוף שנת הדוח האחרונה</t>
  </si>
  <si>
    <t xml:space="preserve">שנים בנתונים</t>
  </si>
  <si>
    <t xml:space="preserve">הכנסות שנה אחרונה (מיליון)</t>
  </si>
  <si>
    <t xml:space="preserve">צמיחת הכנסות שנתית 3 שנים</t>
  </si>
  <si>
    <t xml:space="preserve">שינוי הכנסות שנה אחרונה</t>
  </si>
  <si>
    <t xml:space="preserve">שולי רווח תפעולי</t>
  </si>
  <si>
    <t xml:space="preserve">שנים עם רווח נקי חיובי</t>
  </si>
  <si>
    <t xml:space="preserve">FCF שנה אחרונה (מיליון)</t>
  </si>
  <si>
    <t xml:space="preserve">שולי FCF</t>
  </si>
  <si>
    <t xml:space="preserve">שנים עם FCF חיובי</t>
  </si>
  <si>
    <t xml:space="preserve">שנים עם תזרים מפעילות חיובי</t>
  </si>
  <si>
    <t xml:space="preserve">ROIC</t>
  </si>
  <si>
    <t xml:space="preserve">ROE שנה אחרונה</t>
  </si>
  <si>
    <t xml:space="preserve">חוב נטו (מיליון)</t>
  </si>
  <si>
    <t xml:space="preserve">חוב נטו / EBITDA</t>
  </si>
  <si>
    <t xml:space="preserve">כיסוי ריבית</t>
  </si>
  <si>
    <t xml:space="preserve">שינוי במספר המניות 3 שנים</t>
  </si>
  <si>
    <t xml:space="preserve">תגמול במניות / הכנסות</t>
  </si>
  <si>
    <t xml:space="preserve">P/E נוכחי (TTM)</t>
  </si>
  <si>
    <t xml:space="preserve">חציון P/E שנתי של החברה</t>
  </si>
  <si>
    <t xml:space="preserve">P/E נוכחי / חציון עצמי</t>
  </si>
  <si>
    <t xml:space="preserve">EV/EBITDA נוכחי</t>
  </si>
  <si>
    <t xml:space="preserve">FCF yield נוכחי</t>
  </si>
  <si>
    <t xml:space="preserve">צמיחת הכנסות צפויה (אנליסטים, מידע בלבד)</t>
  </si>
  <si>
    <t xml:space="preserve">הערות על הנתונים</t>
  </si>
  <si>
    <t xml:space="preserve">ABNB</t>
  </si>
  <si>
    <t xml:space="preserve">Airbnb Inc.</t>
  </si>
  <si>
    <t xml:space="preserve">Consumer Services</t>
  </si>
  <si>
    <t xml:space="preserve">Travel and Tourism</t>
  </si>
  <si>
    <t xml:space="preserve">USD</t>
  </si>
  <si>
    <t xml:space="preserve">STD</t>
  </si>
  <si>
    <t xml:space="preserve">2025-12-31</t>
  </si>
  <si>
    <t xml:space="preserve">Cash includes customer funds per source (cash_and_short_term_investments 11014000000). FY2023 net_income includes tax benefit (income_tax -2690000000). FY2025 net_income field is 2511000000 (bottom_line_net_income 2514000000). FY2026+ are estimates. capex 0 and interest_expense 0 as returned for FY2024/FY2025.</t>
  </si>
  <si>
    <t xml:space="preserve">ADBE</t>
  </si>
  <si>
    <t xml:space="preserve">Adobe Inc.</t>
  </si>
  <si>
    <t xml:space="preserve">Technology</t>
  </si>
  <si>
    <t xml:space="preserve">Software</t>
  </si>
  <si>
    <t xml:space="preserve">2025-11-28</t>
  </si>
  <si>
    <t xml:space="preserve">Fiscal year ends November (report dates late Nov/early Dec). No dividends.</t>
  </si>
  <si>
    <t xml:space="preserve">ADP</t>
  </si>
  <si>
    <t xml:space="preserve">Automatic Data Processing Inc.</t>
  </si>
  <si>
    <t xml:space="preserve">Industrials</t>
  </si>
  <si>
    <t xml:space="preserve">Financial Administration</t>
  </si>
  <si>
    <t xml:space="preserve">2026-06-30</t>
  </si>
  <si>
    <t xml:space="preserve">Fiscal year ends June 30. FY2026 operating_income (4078400000) is below ebit (5862500000) as returned. FY2026 balance sheet: other_non_current_assets 48622400000 and total_current_assets 8603300000; TTM current_ratio 0.172 vs FY2025 1.048 as returned. Total assets include large other_current_assets in earlier years. TTM and FY2026 key_metrics differ (TTM pe 25.1 vs FY 20.4) as returned. Provider FMP.</t>
  </si>
  <si>
    <t xml:space="preserve">ANET</t>
  </si>
  <si>
    <t xml:space="preserve">Arista Networks Inc.</t>
  </si>
  <si>
    <t xml:space="preserve">Internet Services</t>
  </si>
  <si>
    <t xml:space="preserve">No debt (total_debt 0, interest_expense 0, interest_coverage 0). Share/EPS data split-adjusted as returned. TTM key metrics (pe 65.7, ev_to_ebitda 51.8) differ from FY2025 (47.0, 37.7).</t>
  </si>
  <si>
    <t xml:space="preserve">APH</t>
  </si>
  <si>
    <t xml:space="preserve">Amphenol Corp.</t>
  </si>
  <si>
    <t xml:space="preserve">Electrical Components and Equipment</t>
  </si>
  <si>
    <t xml:space="preserve">stock_based_compensation FY2025 returned 0. total_equity includes minority_interest (FY2025 stockholders equity 13413100000). FY2026+ are estimates.</t>
  </si>
  <si>
    <t xml:space="preserve">APP</t>
  </si>
  <si>
    <t xml:space="preserve">AppLovin Corp.</t>
  </si>
  <si>
    <t xml:space="preserve">Media Agencies</t>
  </si>
  <si>
    <t xml:space="preserve">FY2021 eps_diluted returned as 0.093. FY2021 total_equity uses total_equity 2138291000 (stockholders equity 2138090000). TTM market data (pe 20.7, EV 91.5B) appears inconsistent with FY2025 year-end valuation (pe 68.5, EV 229B); copied as returned.</t>
  </si>
  <si>
    <t xml:space="preserve">ASML</t>
  </si>
  <si>
    <t xml:space="preserve">ASML Holding N.V.</t>
  </si>
  <si>
    <t xml:space="preserve">EUR</t>
  </si>
  <si>
    <t xml:space="preserve">FOREIGN: all figures in EUR. Sector and industry not returned by tearsheet (null). FY ends Dec. FY2025 interest_expense 0 and stock_based_compensation 0 as returned; TTM interest_coverage 0 as returned. Cash-flow net income FY2022 6395800000 differs from income-statement net_income 5624200000.</t>
  </si>
  <si>
    <t xml:space="preserve">AXP</t>
  </si>
  <si>
    <t xml:space="preserve">American Express Co.</t>
  </si>
  <si>
    <t xml:space="preserve">Financials</t>
  </si>
  <si>
    <t xml:space="preserve">Consumer Finance</t>
  </si>
  <si>
    <t xml:space="preserve">FIN</t>
  </si>
  <si>
    <t xml:space="preserve">Financial/consumer-finance format (negative working capital, interest expense large). TTM current_ratio 1.55 vs FY ~0.28. FY2021 gross_profit exceeds revenue (cost_of_revenue negative). SALES 2030 estimate (76.4B) lower than 2029 - copied as returned but not included (only first two years).</t>
  </si>
  <si>
    <t xml:space="preserve">BAC</t>
  </si>
  <si>
    <t xml:space="preserve">Bank of America Corp.</t>
  </si>
  <si>
    <t xml:space="preserve">Diversified Banks</t>
  </si>
  <si>
    <t xml:space="preserve">Bank format: capex 0, operating cash flow and FCF volatile/not meaningful (FCF-based multiples meaningless), TTM current_ratio 0.07, interest_coverage &lt;1, TTM ROIC equals ROA. FY2021 gross_profit exceeds revenue (small cost_of_revenue). Estimated SALES (123B for 2026) on a different basis than reported FY2025 revenue (191.6B).</t>
  </si>
  <si>
    <t xml:space="preserve">BKNG</t>
  </si>
  <si>
    <t xml:space="preserve">Booking Holdings Inc.</t>
  </si>
  <si>
    <t xml:space="preserve">NEGATIVE EQUITY: total_equity -5578000000 (FY2025), -4020000000 (FY2024), -2744000000 (FY2023); price_to_book, return_on_equity and debt_to_equity are negative in source. cost_of_revenue 0 so gross_profit equals revenue. ttm pe_ratio 17.48 vs FY2025 fy_pe_ratio 32.16 copied as returned (not reconciled). FY2026+ are estimates.</t>
  </si>
  <si>
    <t xml:space="preserve">BSX</t>
  </si>
  <si>
    <t xml:space="preserve">Boston Scientific Corp.</t>
  </si>
  <si>
    <t xml:space="preserve">Health Care</t>
  </si>
  <si>
    <t xml:space="preserve">Medical Equipment</t>
  </si>
  <si>
    <t xml:space="preserve">total_equity includes minority_interest (FY2025 stockholders equity 24233000000). FY2022 common_stock_repurchased is +136000000 as returned. Source ttm pe_ratio 17.34 and FY2025 fy_pe_ratio 48.65 copied as returned (they differ widely; not reconciled). FY2026+ are estimates.</t>
  </si>
  <si>
    <t xml:space="preserve">CAT</t>
  </si>
  <si>
    <t xml:space="preserve">Caterpillar Inc.</t>
  </si>
  <si>
    <t xml:space="preserve">Commercial Vehicles and Trucks</t>
  </si>
  <si>
    <t xml:space="preserve">Consolidated incl. Financial Products (total_debt includes financial-services debt, net_debt_to_ebitda/debt_to_equity reflect that). total_equity includes minority_interest (tiny). FY2026+ are estimates.</t>
  </si>
  <si>
    <t xml:space="preserve">CB</t>
  </si>
  <si>
    <t xml:space="preserve">Chubb Ltd.</t>
  </si>
  <si>
    <t xml:space="preserve">Property and Casualty Insurance</t>
  </si>
  <si>
    <t xml:space="preserve">Insurance format: capex 0 and free_cash_flow equals operating_cash_flow as returned; cash_and_short_term_investments includes short-term investments; FY2021 cash_and_short_term_investments 97913000000 as returned. FY2024 shares_diluted 411905820 as returned (income stmt).</t>
  </si>
  <si>
    <t xml:space="preserve">CME</t>
  </si>
  <si>
    <t xml:space="preserve">CME Group Inc.</t>
  </si>
  <si>
    <t xml:space="preserve">Investment Services</t>
  </si>
  <si>
    <t xml:space="preserve">Exchange operator; balance sheet includes large clearing-house/performance-bond items (other_current_assets ~160B, total_assets ~198B). Provider cash_end_of_period includes restricted/clearing cash (164B) so net_change_in_cash is large. Provider FMP.</t>
  </si>
  <si>
    <t xml:space="preserve">CRM</t>
  </si>
  <si>
    <t xml:space="preserve">Salesforce, Inc.</t>
  </si>
  <si>
    <t xml:space="preserve">2026-01-31</t>
  </si>
  <si>
    <t xml:space="preserve">Fiscal year ends January; source fiscal_year N has report_date N-01-31 (fiscal_year 2026 = FYE 2026-01-31). Estimates are for fiscal_year 2027 (FYE 2027-01-31) and 2028 as returned, since fiscal_year 2026 is already reported. sector and industry not returned by the requested sections. Ttm and FY values copied as returned (fy_pe_ratio FY2023 799.857). FY2027+ are estimates.</t>
  </si>
  <si>
    <t xml:space="preserve">CSCO</t>
  </si>
  <si>
    <t xml:space="preserve">Cisco Systems Inc.</t>
  </si>
  <si>
    <t xml:space="preserve">Computer Services</t>
  </si>
  <si>
    <t xml:space="preserve">2026-07-25</t>
  </si>
  <si>
    <t xml:space="preserve">Fiscal year ends July; FY2026 (2026-07-25) already reported. Tearsheet source FMP.</t>
  </si>
  <si>
    <t xml:space="preserve">ETN</t>
  </si>
  <si>
    <t xml:space="preserve">Eaton Corp. PLC</t>
  </si>
  <si>
    <t xml:space="preserve">Diversified Industrials</t>
  </si>
  <si>
    <t xml:space="preserve">Irish-domiciled, reports in USD. find_securities with query ETN returned only private entities; resolved via query 'Eaton Corporation' (id C4073B, listing XNYS:ETN). stock_based_compensation FY2025 is -50000000 and 0 for FY2021-2024 as returned. total_equity includes minority_interest (FY2025 stockholders equity 19425000000). FY2026+ are estimates.</t>
  </si>
  <si>
    <t xml:space="preserve">GE</t>
  </si>
  <si>
    <t xml:space="preserve">GE Aerospace</t>
  </si>
  <si>
    <t xml:space="preserve">Entity is GE Aerospace (post-spin history restated/mixed: FY2021-2023 include prior conglomerate basis, FY2021 net loss, FY2022 eps 0.043 and fy_pe_ratio 1212.79 as returned). FY2026 EPS estimate 7.92883 is below FY2025 EPS 8.16 as returned. Tearsheet source FMP.</t>
  </si>
  <si>
    <t xml:space="preserve">GOOGL</t>
  </si>
  <si>
    <t xml:space="preserve">Alphabet Inc.</t>
  </si>
  <si>
    <t xml:space="preserve">Estimate EPS FY2027 (15.21734) is lower than FY2026 (20.59129) as returned. TTM net_margin 0.5477 and ttm pe 17.54 as returned (TTM includes large other income). Tearsheet source FMP.</t>
  </si>
  <si>
    <t xml:space="preserve">GS</t>
  </si>
  <si>
    <t xml:space="preserve">Goldman Sachs Group Inc.</t>
  </si>
  <si>
    <t xml:space="preserve">Bank/broker format: OCF/FCF negative and not meaningful; debt/net debt ratios not meaningful. TTM block appears anomalous as returned (return_on_invested_capital 108.84, price_to_book 125.17, debt_to_equity 0.042, current_ratio 1.92, enterprise_value 263636507650, ttm book_value_per_share 0.409) and is inconsistent with FY2025 values. FY2025 revenue 125097000000 vs FY2026 SALES estimate 70844160598 (basis mismatch as returned). Tearsheet source FMP.</t>
  </si>
  <si>
    <t xml:space="preserve">INTU</t>
  </si>
  <si>
    <t xml:space="preserve">Intuit Inc.</t>
  </si>
  <si>
    <t xml:space="preserve">2026-07-31</t>
  </si>
  <si>
    <t xml:space="preserve">Fiscal year ends July; FY2026 (ended 2026-07-31) is the latest. TTM ratios equal FY2026 largely. FY2026 balance sheet shows additional_paid_in_capital 0 and treasury_stock 0 (format change). FY2026 market cap 87.2B vs FY2025 219.8B (large drop).</t>
  </si>
  <si>
    <t xml:space="preserve">ISRG</t>
  </si>
  <si>
    <t xml:space="preserve">Intuitive Surgical Inc.</t>
  </si>
  <si>
    <t xml:space="preserve">interest_expense returned as 0 (no meaningful debt); interest_coverage 0 in source. total_equity includes minority_interest (FY2025 stockholders equity 17824000000). FY2026+ are estimates.</t>
  </si>
  <si>
    <t xml:space="preserve">JNJ</t>
  </si>
  <si>
    <t xml:space="preserve">Johnson &amp; Johnson Co.</t>
  </si>
  <si>
    <t xml:space="preserve">Pharmaceuticals</t>
  </si>
  <si>
    <t xml:space="preserve">2025-12-28</t>
  </si>
  <si>
    <t xml:space="preserve">FY2023 net_income (35.153B) differs from net_income_from_continuing_operations (13.326B). FY2025 total_other_income_expenses_net = 6.985B; FY2024 = -5.462B. FY2022-2021 fiscal weeks end on Jan 1 / Jan 2 dates. FY2025 shares_diluted equals FY2024 value as returned (2429400000).</t>
  </si>
  <si>
    <t xml:space="preserve">JPM</t>
  </si>
  <si>
    <t xml:space="preserve">JPMorgan Chase &amp; Co.</t>
  </si>
  <si>
    <t xml:space="preserve">Bank format: capex 0, operating cash flow and FCF negative/not meaningful (FCF-based multiples and yields meaningless), current_ratio TTM 10.28 vs FY 0.52, interest_expense exceeds operating income (interest_coverage &lt;1), SBC 0. FY2021 gross_profit exceeds revenue (negative cost_of_revenue). Estimated SALES (208B for 2026) is on a different revenue basis than reported FY2025 revenue (279.7B).</t>
  </si>
  <si>
    <t xml:space="preserve">KLAC</t>
  </si>
  <si>
    <t xml:space="preserve">KLA Corp.</t>
  </si>
  <si>
    <t xml:space="preserve">Semiconductors</t>
  </si>
  <si>
    <t xml:space="preserve">Fiscal year ends June. Name returned 'KLA Corp.' (ticker KLAC on XNAS). Split-style fractional EPS values returned (e.g. 3.037, 2.028). Large gap between FY2026 key metrics (pe 82.0, ev_to_ebitda 66.1) and TTM (pe 50.0, ev_to_ebitda 41.0); TTM and FY2026 financial statement ratios are nearly identical, so the difference is price-date basis. Total equity thin relative to buybacks (ROE 0.85).</t>
  </si>
  <si>
    <t xml:space="preserve">KO</t>
  </si>
  <si>
    <t xml:space="preserve">Coca-Cola Co.</t>
  </si>
  <si>
    <t xml:space="preserve">Consumer Goods</t>
  </si>
  <si>
    <t xml:space="preserve">Soft Drinks</t>
  </si>
  <si>
    <t xml:space="preserve">LLY</t>
  </si>
  <si>
    <t xml:space="preserve">Eli Lilly &amp; Co.</t>
  </si>
  <si>
    <t xml:space="preserve">FY2026 and later are estimates; 5 fiscal years returned. Tearsheet also returned FY2028-2030 estimates (not copied).</t>
  </si>
  <si>
    <t xml:space="preserve">LMT</t>
  </si>
  <si>
    <t xml:space="preserve">Lockheed Martin Corp.</t>
  </si>
  <si>
    <t xml:space="preserve">Defense</t>
  </si>
  <si>
    <t xml:space="preserve">Calendar fiscal year. Provider classifies industry as Defense. Operating_income (FY2025 7731000000) exceeds gross_profit (7619000000) as returned. Provider FMP.</t>
  </si>
  <si>
    <t xml:space="preserve">LRCX</t>
  </si>
  <si>
    <t xml:space="preserve">Lam Research Corp.</t>
  </si>
  <si>
    <t xml:space="preserve">2026-06-28</t>
  </si>
  <si>
    <t xml:space="preserve">FY ends late June. FY2026 interest_expense returned 0 (FY2025 178203000). TTM block (pe 53.5, EV 385.7B) differs from FY2026 year-end valuation (pe 71.0, EV 514.3B); copied as returned. FY2026 EBITDA/EV figures as returned.</t>
  </si>
  <si>
    <t xml:space="preserve">MA</t>
  </si>
  <si>
    <t xml:space="preserve">Mastercard Inc.</t>
  </si>
  <si>
    <t xml:space="preserve">Very small equity (buybacks) so ROE/price_to_book extreme as returned; cost_of_revenue 0 so gross_profit equals revenue as returned; TTM ROE 2.324587116608279 and debt_to_equity 4.39190875066833 as returned.</t>
  </si>
  <si>
    <t xml:space="preserve">META</t>
  </si>
  <si>
    <t xml:space="preserve">Meta Platforms Inc.</t>
  </si>
  <si>
    <t xml:space="preserve">FY2025 income_tax 25474000000 (high vs prior year). Dividends began FY2024.</t>
  </si>
  <si>
    <t xml:space="preserve">MRK</t>
  </si>
  <si>
    <t xml:space="preserve">Merck &amp; Co. Inc.</t>
  </si>
  <si>
    <t xml:space="preserve">FY2023 net income 365000000 and eps 0.14 (distorted by acquired IPR&amp;D charge) so fy_pe_ratio 778.7 as returned. TTM net_margin 0.0478 and pe 113.9 are TTM figures as returned and differ sharply from FY2025 (TTM likely includes a large one-time charge). FY2026 EPS estimate 2.66326 as returned. FY2025 SBC returned as 0. Tearsheet source FMP.</t>
  </si>
  <si>
    <t xml:space="preserve">MRSH</t>
  </si>
  <si>
    <t xml:space="preserve">Marsh &amp; McLennan Cos. Inc.</t>
  </si>
  <si>
    <t xml:space="preserve">Insurance Brokers</t>
  </si>
  <si>
    <t xml:space="preserve">Ticker MRSH resolved to Marsh &amp; McLennan Cos. Inc. (listing XNYS:MRSH, id 9B5968). Tangible book value negative (tangible_book_value_per_share FY2025 -29.23). EPS estimate (2026 10.45) is above FY2025 diluted EPS 8.43 as returned. total_equity includes minority interest (FY2025 total_stockholders_equity 15100000000).</t>
  </si>
  <si>
    <t xml:space="preserve">MS</t>
  </si>
  <si>
    <t xml:space="preserve">Morgan Stanley Co.</t>
  </si>
  <si>
    <t xml:space="preserve">Bank/broker format: OCF/FCF swing wildly (negative FY2022-2024) and are not meaningful; debt/net debt ratios not meaningful. FY2025 revenue 114983000000 vs FY2026 SALES estimate 81737866786 (basis mismatch as returned). Entity name returned as 'Morgan Stanley Co.'. Tearsheet source FMP.</t>
  </si>
  <si>
    <t xml:space="preserve">MSFT</t>
  </si>
  <si>
    <t xml:space="preserve">Microsoft Corp.</t>
  </si>
  <si>
    <t xml:space="preserve">Fiscal year ends June 30; provider labels FY ended 2026-06-30 as fiscal_year 2026; estimates fiscal_year 2027 and 2028 are the first two future FYs. Provider capex FY2026 (-115948000000) includes the returned value as-is. fy_market_cap and fy multiples for FY2026 as returned. Provider FMP.</t>
  </si>
  <si>
    <t xml:space="preserve">MU</t>
  </si>
  <si>
    <t xml:space="preserve">Micron Technology Inc.</t>
  </si>
  <si>
    <t xml:space="preserve">2026-09-03</t>
  </si>
  <si>
    <t xml:space="preserve">FY ends ~Sept 3 2026 (53-week). FY2026 figures extremely large vs FY2025 (revenue 133.2B vs 37.4B, EPS 74.33 vs 7.59); copied exactly as returned, not verified against filings.</t>
  </si>
  <si>
    <t xml:space="preserve">NFLX</t>
  </si>
  <si>
    <t xml:space="preserve">Netflix Inc.</t>
  </si>
  <si>
    <t xml:space="preserve">Entertainment Production</t>
  </si>
  <si>
    <t xml:space="preserve">Share counts appear split-adjusted (~10-for-1) in the returned data; TTM key metrics (pe 22.09, ev_to_ebitda 8.64) differ markedly from FY2025 values (36.3, 13.3) - copied as returned.</t>
  </si>
  <si>
    <t xml:space="preserve">NOW</t>
  </si>
  <si>
    <t xml:space="preserve">ServiceNow Inc.</t>
  </si>
  <si>
    <t xml:space="preserve">Application Software</t>
  </si>
  <si>
    <t xml:space="preserve">Estimate EPS (4.07 for FY2026) not comparable to reported FY2025 EPS 1.67 / shares 1.047B; possible split/basis mismatch in source (not verified). TTM ratios block returned TTM interest_coverage/debt_to_equity differing from FY2025.</t>
  </si>
  <si>
    <t xml:space="preserve">NVDA</t>
  </si>
  <si>
    <t xml:space="preserve">NVIDIA Corp.</t>
  </si>
  <si>
    <t xml:space="preserve">2026-01-25</t>
  </si>
  <si>
    <t xml:space="preserve">Fiscal year ends late January; provider labels FY ending Jan 2026 as fiscal_year 2026 (so FY2027 ends 2027-01-25). EPS history split-adjusted as returned. interest_expense as returned.</t>
  </si>
  <si>
    <t xml:space="preserve">PGR</t>
  </si>
  <si>
    <t xml:space="preserve">Progressive Corp.</t>
  </si>
  <si>
    <t xml:space="preserve">Insurer format: cost_of_revenue 61807000000 FY2025; total_debt is long-term debt only. TTM debt_to_equity 1.709 vs FY2025 0.227; TTM price_to_book 26.16 vs FY2025 4.40; TTM current_ratio 1.600 vs FY2025 0.586 (not comparable). FY2025 cash_and_short_term_investments 19836000000 vs 76090000000 FY2024 as returned. EPS estimate 2026 (18.287) is below FY2025 diluted EPS (19.23); 2027 estimate 16.25884.</t>
  </si>
  <si>
    <t xml:space="preserve">PM</t>
  </si>
  <si>
    <t xml:space="preserve">Philip Morris International Inc.</t>
  </si>
  <si>
    <t xml:space="preserve">Tobacco</t>
  </si>
  <si>
    <t xml:space="preserve">Negative total equity. FY2025 SBC and FY2024/2023 SBC returned as 0. Tearsheet source FMP. fy_market_cap from key_metrics.</t>
  </si>
  <si>
    <t xml:space="preserve">SCHW</t>
  </si>
  <si>
    <t xml:space="preserve">The Charles Schwab Corp.</t>
  </si>
  <si>
    <t xml:space="preserve">Bank/broker format: gross_profit/revenue/interest_expense definitions differ (cost_of_revenue = interest expense); FCF, capex, debt, cash metrics are not meaningful in the usual sense. total_equity 49425000000 includes preferred (preferred_stock 6763000000). TTM current_ratio and cash conversion metrics distorted.</t>
  </si>
  <si>
    <t xml:space="preserve">SHOP</t>
  </si>
  <si>
    <t xml:space="preserve">Shopify Inc.</t>
  </si>
  <si>
    <t xml:space="preserve">Business Support Services</t>
  </si>
  <si>
    <t xml:space="preserve">Foreign (Canadian) issuer but reports in USD. FY2021 and FY2024 net income inflated by investment gains; FY2022 large loss (equity investment writedowns); FY2023 pe_ratio 777 and ev_to_ebitda -12425 reflect near-zero earnings/EBITDA. FY2025 filing_date equals report_date (2025-12-31) and some FY2025 cash flow values have non-rounded figures (looks derived). interest_expense 0 in most years. FY2025 EPS 0.96.</t>
  </si>
  <si>
    <t xml:space="preserve">SPGI</t>
  </si>
  <si>
    <t xml:space="preserve">S&amp;P Global Inc.</t>
  </si>
  <si>
    <t xml:space="preserve">Publishing</t>
  </si>
  <si>
    <t xml:space="preserve">total_equity includes minority interest (36152000000; stockholders equity 31235000000 in FY2025). Tearsheet source FMP.</t>
  </si>
  <si>
    <t xml:space="preserve">SYK</t>
  </si>
  <si>
    <t xml:space="preserve">Stryker Corp.</t>
  </si>
  <si>
    <t xml:space="preserve">FY ends Dec. Tangible book value negative. FY2025 EPS 8.4 is GAAP diluted vs FY2026 consensus 14.96 (likely adjusted basis).</t>
  </si>
  <si>
    <t xml:space="preserve">TJX</t>
  </si>
  <si>
    <t xml:space="preserve">TJX Companies Inc.</t>
  </si>
  <si>
    <t xml:space="preserve">Apparel Retailers</t>
  </si>
  <si>
    <t xml:space="preserve">Fiscal year ends January (fiscal_year 2026 = FYE 2026-01-31). Estimates are for FY2027 and FY2028. FY2022 cash flow values returned with non-round decimals (capex -1044794000, dividends -1251833000). TTM and FY2026 differ (TTM ROE 0.598 vs FY 0.539). Reported goodwill_and_intangible_assets tiny (96000000) vs total assets; operating-lease obligations included in total_debt.</t>
  </si>
  <si>
    <t xml:space="preserve">TSM</t>
  </si>
  <si>
    <t xml:space="preserve">TSMC Ltd. (Taiwan)</t>
  </si>
  <si>
    <t xml:space="preserve">TWD</t>
  </si>
  <si>
    <t xml:space="preserve">FOREIGN: all figures in TWD (New Taiwan dollars), not USD; EPS is per ordinary share (TWD), not per ADR. Stock-based compensation returned 0 for FY2025. report dates equal to FY end (filing_date placeholders).</t>
  </si>
  <si>
    <t xml:space="preserve">V</t>
  </si>
  <si>
    <t xml:space="preserve">Visa Inc.</t>
  </si>
  <si>
    <t xml:space="preserve">2025-09-30</t>
  </si>
  <si>
    <t xml:space="preserve">Fiscal year ends Sept 30. Latest reported FY2025 (2025-09-30); FY2026 (ends 2026-09-30) not yet reported in income statement and no FY2026 estimate was returned; estimates returned start at FY2027 so those are listed. FY2025 revenue exactly 40000000000 as returned. TTM key metrics differ from FY2025.</t>
  </si>
  <si>
    <t xml:space="preserve">VRTX</t>
  </si>
  <si>
    <t xml:space="preserve">Vertex Pharmaceuticals Inc.</t>
  </si>
  <si>
    <t xml:space="preserve">Biotechnology</t>
  </si>
  <si>
    <t xml:space="preserve">FY2024 negative net income/EPS/OCF/FCF (acquired IPR&amp;D charge), fy_pe_ratio -193.6 and fy_ev_to_ebitda 207.4 as returned. Tearsheet source FMP.</t>
  </si>
  <si>
    <t xml:space="preserve">WFC</t>
  </si>
  <si>
    <t xml:space="preserve">Wells Fargo &amp; Co.</t>
  </si>
  <si>
    <t xml:space="preserve">Banks</t>
  </si>
  <si>
    <t xml:space="preserve">BANK FORMAT: provider generic fundamentals are not meaningful for a bank (operating_cash_flow negative/volatile, capex 0, stock_based_compensation 0, total_assets 2.1T, huge deposit-driven current liabilities, current_ratio/net_debt_to_ebitda/interest_coverage not comparable, interest_expense in revenue-cost structure). FY2021 gross_profit (83321000000) exceeds revenue (83081000000) as returned. Revenue FY2025 vs estimate FY2026 differ in basis (123.5B vs 88.8B est.) as returned. Provider FMP.</t>
  </si>
  <si>
    <t xml:space="preserve">AAPL</t>
  </si>
  <si>
    <t xml:space="preserve">Apple Inc.</t>
  </si>
  <si>
    <t xml:space="preserve">Computer Hardware</t>
  </si>
  <si>
    <t xml:space="preserve">2025-09-27</t>
  </si>
  <si>
    <t xml:space="preserve">Fiscal year ends late September. goodwill_and_intangible_assets is 0 in provider data (Apple reports none). interest_expense is 0 for FY2025 and FY2024 and interest_coverage TTM is 0 as returned. No fiscal_year 2026 estimate returned; first two returned are 2027 and 2028. Provider FMP.</t>
  </si>
  <si>
    <t xml:space="preserve">ABT</t>
  </si>
  <si>
    <t xml:space="preserve">Abbott Laboratories Inc.</t>
  </si>
  <si>
    <t xml:space="preserve">FY2024 net_income (13402000000) includes a large negative income_tax (-6389000000) as returned. Estimate EPS (5.51 for FY2026) is on a different basis than reported GAAP eps_diluted (3.72 FY2025) as returned. Sales estimate FY2026 (50.3B) vs FY2025 revenue 44.3B as returned. Provider FMP.</t>
  </si>
  <si>
    <t xml:space="preserve">AMD</t>
  </si>
  <si>
    <t xml:space="preserve">Advanced Micro Devices Inc.</t>
  </si>
  <si>
    <t xml:space="preserve">2025-12-27</t>
  </si>
  <si>
    <t xml:space="preserve">sector/industry not returned in requested sections (null). Fiscal year ends late December (52/53-week). FY2025 income_tax -103000000 (tax benefit), net_income 4335000000 vs continuing ops 4269000000. FY2021-FY2022 balance sheet pre-Xilinx scale vs later years (goodwill_and_intangible_assets 612000000 to 48295000000). TTM pe_ratio 149.1 and ev_to_ebitda 89.3 differ from FY2025 (80.5, 47.8): price-date basis. No dividends paid.</t>
  </si>
  <si>
    <t xml:space="preserve">AMGN</t>
  </si>
  <si>
    <t xml:space="preserve">Amgen Inc.</t>
  </si>
  <si>
    <t xml:space="preserve">Low positive equity (8658000000 FY2025). Tearsheet source FMP.</t>
  </si>
  <si>
    <t xml:space="preserve">ARM</t>
  </si>
  <si>
    <t xml:space="preserve">ARM Holdings PLC</t>
  </si>
  <si>
    <t xml:space="preserve">2026-03-31</t>
  </si>
  <si>
    <t xml:space="preserve">FY ends March. FY2022 balance sheet not returned (null); FY2022 ev_to_ebitda 0 as returned. interest_expense 0 as returned. capex negative as returned.</t>
  </si>
  <si>
    <t xml:space="preserve">AVGO</t>
  </si>
  <si>
    <t xml:space="preserve">Broadcom Inc.</t>
  </si>
  <si>
    <t xml:space="preserve">2025-11-02</t>
  </si>
  <si>
    <t xml:space="preserve">Fiscal year ends early November (FY2026 ends 2026-11-02, not yet reported). FY2025 income_tax negative (-397000000). FY2024 net_income 5895000000 (continuing ops 6168000000). FY2026+ are estimates.</t>
  </si>
  <si>
    <t xml:space="preserve">BMY</t>
  </si>
  <si>
    <t xml:space="preserve">Bristol-Myers Squibb Co.</t>
  </si>
  <si>
    <t xml:space="preserve">FY2024 net loss (acquired IPR&amp;D charges). FY2025 EPS 3.45 GAAP vs FY2026 consensus 6.96 (likely non-GAAP basis) as returned. total_equity includes minority interest. Tangible book value negative.</t>
  </si>
  <si>
    <t xml:space="preserve">BX</t>
  </si>
  <si>
    <t xml:space="preserve">Blackstone Inc.</t>
  </si>
  <si>
    <t xml:space="preserve">Diversified Capital Markets</t>
  </si>
  <si>
    <t xml:space="preserve">Asset manager / non-standard format: net_income (bottom_line_net_income) is attributable to common; net_income_from_continuing_operations FY2025=6046623000 (includes minority interest). total_equity includes minority_interest 13215646000 (stockholders equity 8665526000). cost/R&amp;D fields odd (cost_of_revenue equals interest expense in some years). SBC 0 in FY2021-2024 (not reported by source). FY2026+ are estimates.</t>
  </si>
  <si>
    <t xml:space="preserve">C</t>
  </si>
  <si>
    <t xml:space="preserve">Citigroup Inc.</t>
  </si>
  <si>
    <t xml:space="preserve">Bank format: FCF/OCF negative and not meaningful, total_debt/net debt ratios not meaningful, revenue FY2025 168285000000 vs estimates SALES FY2026 95970168528 (basis mismatch as returned). SBC returned as 0. Tearsheet source FMP.</t>
  </si>
  <si>
    <t xml:space="preserve">COP</t>
  </si>
  <si>
    <t xml:space="preserve">ConocoPhillips Co.</t>
  </si>
  <si>
    <t xml:space="preserve">Energy</t>
  </si>
  <si>
    <t xml:space="preserve">Integrated Oil and Gas</t>
  </si>
  <si>
    <t xml:space="preserve">Provider classifies industry as Integrated Oil and Gas. stock_based_compensation is 0 for FY2023-FY2025 as returned (nonzero FY2021-22). goodwill_and_intangible_assets is 0 in all years as returned. FY2025 ebitda (25389000000) vs operating_income (11342000000) as returned. Provider FMP.</t>
  </si>
  <si>
    <t xml:space="preserve">COST</t>
  </si>
  <si>
    <t xml:space="preserve">Costco Wholesale Corp.</t>
  </si>
  <si>
    <t xml:space="preserve">Broadline Retailers</t>
  </si>
  <si>
    <t xml:space="preserve">2026-08-30</t>
  </si>
  <si>
    <t xml:space="preserve">Fiscal year ends late Aug/early Sep. FY2026 (report_date 2026-08-30, filed 2026-10-07) is already reported, so first two future estimate years are FY2027 and FY2028. FY2024 common_dividends_paid -9041000000 includes special dividend as returned. TTM equals FY2026 data (ratios TTM vs FY2026 differ slightly in ROE).</t>
  </si>
  <si>
    <t xml:space="preserve">DELL</t>
  </si>
  <si>
    <t xml:space="preserve">Dell Technologies Inc.</t>
  </si>
  <si>
    <t xml:space="preserve">2026-01-30</t>
  </si>
  <si>
    <t xml:space="preserve">FY ends late January/early February (fiscal_year label = year of Jan end, FY2026 ended 2026-01-30). Total equity negative in all five years, so debt_to_equity, return_on_equity and price_to_book are negative as returned. TTM valuation (pe 32.5, EV 405.6B) differs from FY2026 year-end (pe 12.8, EV 95.8B); copied as returned. FY2022 eps_diluted 7.02 vs net_income 5563000000 includes discontinued operations.</t>
  </si>
  <si>
    <t xml:space="preserve">DIS</t>
  </si>
  <si>
    <t xml:space="preserve">The Walt Disney Co.</t>
  </si>
  <si>
    <t xml:space="preserve">FY ends late Sept/early Oct. Estimates returned start at FY2027 (no FY2026 estimate row returned). net_income is net_income attributable (12404000000); net_income_from_continuing_operations was 13431000000. total_equity 114612000000 includes minority interest (total_stockholders_equity 109869000000).</t>
  </si>
  <si>
    <t xml:space="preserve">DUK</t>
  </si>
  <si>
    <t xml:space="preserve">Duke Energy Corp.</t>
  </si>
  <si>
    <t xml:space="preserve">Utilities</t>
  </si>
  <si>
    <t xml:space="preserve">Multiutilities</t>
  </si>
  <si>
    <t xml:space="preserve">UTIL/REIT</t>
  </si>
  <si>
    <t xml:space="preserve">Utility; negative FCF (capex &gt; OCF) all years; FY2025 gross_profit 10174000000 vs FY2024 15197000000 as returned (cost_of_revenue classification differs); TTM gross_margin 0.68 vs FY2025 0.3156 as returned. Cash 245000000.</t>
  </si>
  <si>
    <t xml:space="preserve">GILD</t>
  </si>
  <si>
    <t xml:space="preserve">Gilead Sciences Inc.</t>
  </si>
  <si>
    <t xml:space="preserve">TTM figures are negative (TTM net_margin -0.106, pe -57.07, ev_to_ebitda 155.2) as returned, likely due to a large one-time charge in the latest quarters; FY2026 EPS estimate is negative (-0.42166) as returned. FY2024 net income 480000000 / eps 0.38 (IPR&amp;D charge), fy_pe_ratio 243.08. Tearsheet source FMP.</t>
  </si>
  <si>
    <t xml:space="preserve">HD</t>
  </si>
  <si>
    <t xml:space="preserve">The Home Depot Inc.</t>
  </si>
  <si>
    <t xml:space="preserve">Home Improvement Retailers</t>
  </si>
  <si>
    <t xml:space="preserve">2026-02-01</t>
  </si>
  <si>
    <t xml:space="preserve">Fiscal year ends ~Feb 1; provider labels FY ended 2026-02-01 as fiscal_year 2025. Estimates fiscal_year 2027 (report_date 2027-02-01) and 2028 are the first two future FYs as labeled by provider (no fiscal_year 2026 estimate returned). common_stock_repurchased is 0 in FY2025. Provider FMP.</t>
  </si>
  <si>
    <t xml:space="preserve">HOOD</t>
  </si>
  <si>
    <t xml:space="preserve">Robinhood Markets Inc.</t>
  </si>
  <si>
    <t xml:space="preserve">Broker format: balance sheet includes customer-related balances (short_term_debt 11.6B, receivables 18.4B); debt/leverage and working capital ratios not comparable to non-financials. FY2025 interest_expense returned 0 while FY2024 24000000. FY2021 eps_diluted -4.2671 and FY2023 -0.6073 as returned. TTM free_cash_flow_yield 0.0018 vs FY2025 0.0158 as returned.</t>
  </si>
  <si>
    <t xml:space="preserve">IBM</t>
  </si>
  <si>
    <t xml:space="preserve">IBM Corp.</t>
  </si>
  <si>
    <t xml:space="preserve">total_equity includes minority_interest (FY2025 stockholders equity 32648000000). common_stock_repurchased returned 0 for FY2024 and FY2025. FY2022 net income depressed by pension/divestiture items. FY2026+ are estimates.</t>
  </si>
  <si>
    <t xml:space="preserve">ICE</t>
  </si>
  <si>
    <t xml:space="preserve">Intercontinental Exchange Inc.</t>
  </si>
  <si>
    <t xml:space="preserve">Exchange/clearing operator: balance sheet includes large clearing-house items (other_current_assets ~79B, total_assets ~137B). TTM inventory_turnover/days_of_inventory/cash_conversion_cycle values are anomalous as returned (cash_conversion_cycle 16162). Estimate EPS basis (8.17 for FY2026) is higher than reported GAAP eps_diluted (5.77) as returned. Provider FMP.</t>
  </si>
  <si>
    <t xml:space="preserve">LIN</t>
  </si>
  <si>
    <t xml:space="preserve">Linde PLC</t>
  </si>
  <si>
    <t xml:space="preserve">Basic Materials</t>
  </si>
  <si>
    <t xml:space="preserve">Commodity Chemicals</t>
  </si>
  <si>
    <t xml:space="preserve">Irish-domiciled (country Ireland); resolved via 'Linde plc' without countries filter (query 'LIN' with US filter returned no match). Listing XNAS:LIN/XNYS:LIN.</t>
  </si>
  <si>
    <t xml:space="preserve">MCD</t>
  </si>
  <si>
    <t xml:space="preserve">McDonald's Corp.</t>
  </si>
  <si>
    <t xml:space="preserve">Restaurants and Bars</t>
  </si>
  <si>
    <t xml:space="preserve">Negative total equity in all years (ROE, debt_to_equity, price_to_book negative/meaningless). FY2022 and FY2021 values copied as returned (some with decimals in raw dollars).</t>
  </si>
  <si>
    <t xml:space="preserve">MDT</t>
  </si>
  <si>
    <t xml:space="preserve">Medtronic PLC</t>
  </si>
  <si>
    <t xml:space="preserve">2026-04-24</t>
  </si>
  <si>
    <t xml:space="preserve">find_securities with countries=[US] did not return Medtronic; resolved via query 'Medtronic plc' without country filter (Ireland-incorporated, XNYS:MDT). Fiscal year ends late April. Estimates are on an EPS basis that looks non-GAAP/adjusted versus reported GAAP eps_diluted (3.73 vs 5.98 estimate) - copied as returned. TTM ratios contain odd values (negative inventory_turnover, days_of_inventory_outstanding). Provider FMP.</t>
  </si>
  <si>
    <t xml:space="preserve">PEP</t>
  </si>
  <si>
    <t xml:space="preserve">PepsiCo Inc.</t>
  </si>
  <si>
    <t xml:space="preserve">FY2025 report_date 2025-12-27 (52/53 week year). Analyst EPS 2026 8.42 is core/adjusted basis vs GAAP 6.00 in FY2025, as returned (not adjusted).</t>
  </si>
  <si>
    <t xml:space="preserve">PG</t>
  </si>
  <si>
    <t xml:space="preserve">Procter &amp; Gamble Co.</t>
  </si>
  <si>
    <t xml:space="preserve">Nondurable Household Products</t>
  </si>
  <si>
    <t xml:space="preserve">Fiscal year ends June 30. FY2026 (report_date 2026-06-30) already reported, so first two future estimate years are FY2027 and FY2028. FY2026 total_equity 54541000000 (stockholders 54311000000). FY2026 balance sheet total_liabilities_and_equity 126751000000 vs total_assets 126521000000 as returned.</t>
  </si>
  <si>
    <t xml:space="preserve">QCOM</t>
  </si>
  <si>
    <t xml:space="preserve">Qualcomm Inc.</t>
  </si>
  <si>
    <t xml:space="preserve">2025-09-28</t>
  </si>
  <si>
    <t xml:space="preserve">Fiscal year ends September. Estimates returned start at FY2027 (no FY2026 record returned), so FY2027 and FY2028 used. FY2025 net income depressed by tax (income_tax 7122000000); FY2024 net income 10142000000 (net_income) vs 10110000000 continuing.</t>
  </si>
  <si>
    <t xml:space="preserve">RTX</t>
  </si>
  <si>
    <t xml:space="preserve">RTX Corp.</t>
  </si>
  <si>
    <t xml:space="preserve">Aerospace</t>
  </si>
  <si>
    <t xml:space="preserve">Goodwill and intangibles about half of total assets (tangible book value negative). EPS estimate for 2026 (7.26) is well above FY2025 reported diluted EPS (4.96) as returned. total_equity includes minority interest (FY2025 total_stockholders_equity 65245000000).</t>
  </si>
  <si>
    <t xml:space="preserve">TXN</t>
  </si>
  <si>
    <t xml:space="preserve">Texas Instruments Inc.</t>
  </si>
  <si>
    <t xml:space="preserve">FY2026+ are estimates.</t>
  </si>
  <si>
    <t xml:space="preserve">UNP</t>
  </si>
  <si>
    <t xml:space="preserve">Union Pacific Corp.</t>
  </si>
  <si>
    <t xml:space="preserve">Railroads</t>
  </si>
  <si>
    <t xml:space="preserve">Gross profit definition changed across years (FY2025 gross margin 59% vs ~45% earlier). Estimated SALES for 2026 (27.1B) is above reported FY2025 revenue (24.5B). stock_based_compensation 0 for FY2023-2025.</t>
  </si>
  <si>
    <t xml:space="preserve">WM</t>
  </si>
  <si>
    <t xml:space="preserve">Waste Management Inc.</t>
  </si>
  <si>
    <t xml:space="preserve">Waste And Disposal Services</t>
  </si>
  <si>
    <t xml:space="preserve">FY2025 D&amp;A 735000000 and ebitda 5073000000 differ from prior years (D&amp;A ~2.1-2.4bn) as returned. FY2025 stock_based_compensation 0 and common_stock_repurchased 0 as returned. Analyst EPS (8.11) is adjusted basis vs GAAP 6.70, as returned.</t>
  </si>
  <si>
    <t xml:space="preserve">WMT</t>
  </si>
  <si>
    <t xml:space="preserve">Walmart Inc.</t>
  </si>
  <si>
    <t xml:space="preserve">Department Stores</t>
  </si>
  <si>
    <t xml:space="preserve">Fiscal year ends January (fiscal_year 2026 = FYE 2026-01-31). total_equity includes minority interest (total_stockholders_equity FY2026 = 99617000000). stock_based_compensation reported as 0 in all years. Estimates are for FY2027 and FY2028 (FYE Jan 2027/2028).</t>
  </si>
  <si>
    <t xml:space="preserve">ABBV</t>
  </si>
  <si>
    <t xml:space="preserve">AbbVie Inc.</t>
  </si>
  <si>
    <t xml:space="preserve">Negative total equity in FY2025 (-3228000000) and TTM (negative price_to_book, ROE, debt_to_equity). FY2025 ebitda as returned (17629000000) appears low vs operating_income. FY report ebitda/operating_income as returned. Provider FMP.</t>
  </si>
  <si>
    <t xml:space="preserve">ADI</t>
  </si>
  <si>
    <t xml:space="preserve">Analog Devices Inc.</t>
  </si>
  <si>
    <t xml:space="preserve">2025-11-01</t>
  </si>
  <si>
    <t xml:space="preserve">FY ends ~Nov 1 (FY2026 ends 2026-11-01, not yet reported). FY2026 consensus EPS (12.87) well above FY2025 GAAP EPS (4.56), likely adjusted basis. Tangible book value negative.</t>
  </si>
  <si>
    <t xml:space="preserve">ALAB</t>
  </si>
  <si>
    <t xml:space="preserve">Astera Labs Inc.</t>
  </si>
  <si>
    <t xml:space="preserve">Only 4 fiscal years returned (IPO 2024). FY2022 negative equity (-85292000). interest_expense 0 as returned.</t>
  </si>
  <si>
    <t xml:space="preserve">AMT</t>
  </si>
  <si>
    <t xml:space="preserve">American Tower REIT Inc.</t>
  </si>
  <si>
    <t xml:space="preserve">Real Estate</t>
  </si>
  <si>
    <t xml:space="preserve">Specialty REITs</t>
  </si>
  <si>
    <t xml:space="preserve">REIT. total_equity is 10355300000 incl. minority interest 6702800000 (stockholders equity 3652500000). Estimate EPS (6.97 FY2026) is on a different basis than GAAP eps_diluted (5.39 FY2025), likely AFFO-style, as returned. FY2025 ebitda (6103700000) vs FY2024 (7154100000) as returned. Provider FMP.</t>
  </si>
  <si>
    <t xml:space="preserve">AMZN</t>
  </si>
  <si>
    <t xml:space="preserve">Amazon.com Inc.</t>
  </si>
  <si>
    <t xml:space="preserve">Internet &amp; Direct Marketing Retail</t>
  </si>
  <si>
    <t xml:space="preserve">FY2022 net loss. TTM price_to_free_cash_flow negative (-240.7462113548387) as returned. EPS estimate drops from 12.78 (2026) to 10.64 (2027) as returned (possible one-off gains in 2026 consensus).</t>
  </si>
  <si>
    <t xml:space="preserve">BLK</t>
  </si>
  <si>
    <t xml:space="preserve">BlackRock Inc.</t>
  </si>
  <si>
    <t xml:space="preserve">Other Diversified Financial Services</t>
  </si>
  <si>
    <t xml:space="preserve">Asset manager format: large other_non_current_liabilities and other_non_current_assets (separate-account/consolidated items); current_ratio FY 15.76 vs TTM 1.35 (not comparable). Net income FY2025 (5.553B) is below FY2024 (6.369B). FY2025 diluted shares 160.9M vs 151.6M FY2024. EPS estimate for 2026 (56.05) is well above FY2025 diluted EPS (35.31) as returned; SBC to revenue 5.4%. total_equity includes minority interest (FY2025 total_stockholders_equity 55888000000). FY2021 total_assets 152.6B (includes consolidated funds).</t>
  </si>
  <si>
    <t xml:space="preserve">BRK-B</t>
  </si>
  <si>
    <t xml:space="preserve">Berkshire Hathaway Inc.</t>
  </si>
  <si>
    <t xml:space="preserve">Reinsurance</t>
  </si>
  <si>
    <t xml:space="preserve">Insurance/conglomerate; stock_based_compensation, dividends 0 as returned. TTM key_metrics per-share values (book_value_per_share etc.) appear in Class A units; not copied. Resolved via 'Berkshire Hathaway' (listing XNYS:BRK.B). fy_market_cap/FY key metrics per returned key_metrics FY rows.</t>
  </si>
  <si>
    <t xml:space="preserve">COIN</t>
  </si>
  <si>
    <t xml:space="preserve">Coinbase Global Inc.</t>
  </si>
  <si>
    <t xml:space="preserve">Financial Services</t>
  </si>
  <si>
    <t xml:space="preserve">Crypto exchange; balance sheet includes customer custody items (FY2022 total_assets 89.7B, FY2023 deferred_revenue anomaly in source). capex reported as 0 for FY2023-2025 so free_cash_flow equals operating_cash_flow. TTM net_margin negative (-0.157) while FY2025 positive (0.176); ttm values as returned. EPS in 2026 estimate negative.</t>
  </si>
  <si>
    <t xml:space="preserve">CRDO</t>
  </si>
  <si>
    <t xml:space="preserve">Credo Technology Group Holding Ltd.</t>
  </si>
  <si>
    <t xml:space="preserve">Telecommunications</t>
  </si>
  <si>
    <t xml:space="preserve">Alternative Carriers</t>
  </si>
  <si>
    <t xml:space="preserve">2026-05-02</t>
  </si>
  <si>
    <t xml:space="preserve">FY ends ~end of April/early May. Resolved via name 'Credo Technology' (ticker query failed); rp entity listed under XNAS:CRDO, sector classified Telecommunications/Alternative Carriers by provider. interest_expense 0 as returned.</t>
  </si>
  <si>
    <t xml:space="preserve">CRWD</t>
  </si>
  <si>
    <t xml:space="preserve">CrowdStrike Holdings Inc.</t>
  </si>
  <si>
    <t xml:space="preserve">FY ends Jan 31. total_equity includes minority interest (stockholders equity FY2026 4428390000). TTM net income positive (net_margin 0.0108) while FY2026 net loss; TTM ratios as returned. Estimate EPS is non-GAAP basis vs GAAP reported loss.</t>
  </si>
  <si>
    <t xml:space="preserve">CVX</t>
  </si>
  <si>
    <t xml:space="preserve">Chevron Corp.</t>
  </si>
  <si>
    <t xml:space="preserve">Sector and industry null (company_overview section not requested). stock_based_compensation 0 in FY2021, FY2023-FY2025 as returned. FY2025 balance sheet (total_assets 324012000000, total_equity 192176000000) steps up from FY2024 as returned. TTM ratios and key metrics differ from FY2025 as returned.</t>
  </si>
  <si>
    <t xml:space="preserve">DDOG</t>
  </si>
  <si>
    <t xml:space="preserve">Datadog Inc.</t>
  </si>
  <si>
    <t xml:space="preserve">FY2021 eps_diluted returned as -0.0671. Estimate EPS (non-GAAP basis) not comparable to reported GAAP EPS 0.30.</t>
  </si>
  <si>
    <t xml:space="preserve">DE</t>
  </si>
  <si>
    <t xml:space="preserve">Deere &amp; Co.</t>
  </si>
  <si>
    <t xml:space="preserve">Fiscal year ends late Oct/early Nov. Includes large captive-finance (John Deere Financial) balance sheet: total_debt and interest_expense reflect financing operations. FY2025 EPS 18.5 and revenue below FY2024 as returned; FY2026 SALES estimate 41411220680 below FY2025 revenue as returned. Tearsheet source FMP.</t>
  </si>
  <si>
    <t xml:space="preserve">ELV</t>
  </si>
  <si>
    <t xml:space="preserve">Elevance Health Inc.</t>
  </si>
  <si>
    <t xml:space="preserve">Managed Health Care</t>
  </si>
  <si>
    <t xml:space="preserve">Managed-care format: gross_profit = revenue minus cost of revenue (benefit expense). FY2025 EPS 25.12 GAAP vs FY2026 consensus 27.24 (likely adjusted basis). total_equity includes minority interest. FY2022 and FY2021 net_income from net_income field (5894000000, 6104000000); cash-flow net income in FY2022 6019000000 differs.</t>
  </si>
  <si>
    <t xml:space="preserve">FISV</t>
  </si>
  <si>
    <t xml:space="preserve">Fiserv Inc.</t>
  </si>
  <si>
    <t xml:space="preserve">FY2025 data incomplete as returned: gross_profit=0, cost_of_revenue=0, capex=0 (FY2025 free_cash_flow equals operating_cash_flow), no market-cap-consistent TTM; FY2025 market_cap 35.3B vs FY2024 118.9B (large price drop). TTM gross_margin 0.166 and ttm free_cash_flow_yield 0.207 look anomalous. Fiserv listed XNYS:FI (ticker changed from FISV). Copied as returned.</t>
  </si>
  <si>
    <t xml:space="preserve">HON</t>
  </si>
  <si>
    <t xml:space="preserve">Honeywell International Inc.</t>
  </si>
  <si>
    <t xml:space="preserve">Estimate scale as returned (SALES FY2026 20148788978, EPS FY2026 8.31136) differs from FY2025 reported revenue 37442000000 and eps_diluted 14.72. stock_based_compensation is 0 for FY2025 as returned. TTM net_margin 0.2273 vs FY2025 0.1263 as returned. Provider FMP.</t>
  </si>
  <si>
    <t xml:space="preserve">INTC</t>
  </si>
  <si>
    <t xml:space="preserve">Intel Corp.</t>
  </si>
  <si>
    <t xml:space="preserve">Data Processing &amp; Outsourced Services</t>
  </si>
  <si>
    <t xml:space="preserve">total_equity includes minority interest (FY2025 stockholders equity 114281000000). Net loss FY2025/FY2024; TTM net_margin -0.198 vs FY2025 -0.005 (as returned). Estimate EPS likely non-GAAP vs GAAP reported loss. Industry label as returned by Bigdata.</t>
  </si>
  <si>
    <t xml:space="preserve">KKR</t>
  </si>
  <si>
    <t xml:space="preserve">KKR &amp; Co. Inc.</t>
  </si>
  <si>
    <t xml:space="preserve">Asset Management &amp; Custody Banks</t>
  </si>
  <si>
    <t xml:space="preserve">Asset manager / insurer (Global Atlantic) consolidated format: total_assets 410bn, equity includes minority_interest 50729350000 (FY2025 stockholders equity 30902561000, preferred 2543404000). Cash and short-term investments FY2025 is 6155000 (FY2024 112557690000) as returned; balance sheet classifications changed between FY2024 and FY2025. operating_income, ebitda, interest_expense and FCF are not comparable to industrial definitions (ebitda equals ebit as returned). net_income = bottom_line_net_income (attributable to common); continuing ops FY2025 6145412000. Estimate EPS/sales bases differ from reported GAAP (adjusted vs GAAP); SALES FY2029 estimate based on 1 analyst. FY2026+ are estimates.</t>
  </si>
  <si>
    <t xml:space="preserve">Lowe's Companies Inc.</t>
  </si>
  <si>
    <t xml:space="preserve">Fiscal year ends ~Jan 31; provider labels FY ended 2026-01-30 as fiscal_year 2025; estimates fiscal_year 2027 and 2028 are the first two future FYs as labeled (no 2026 estimate returned). Negative total equity in all years FY2021-FY2025 (negative price_to_book, ROE, debt_to_equity TTM). goodwill_and_intangible_assets is 0 for FY2023-FY2024 as returned. Provider FMP.</t>
  </si>
  <si>
    <t xml:space="preserve">MDLZ</t>
  </si>
  <si>
    <t xml:space="preserve">Mondelez International Inc.</t>
  </si>
  <si>
    <t xml:space="preserve">Food Products</t>
  </si>
  <si>
    <t xml:space="preserve">FY2025 margins sharply lower than FY2024 (gross_profit 10.9B vs 14.3B). TTM figures differ from FY2025 (TTM gross_margin 0.311, net_margin 0.0886 vs FY 0.284, 0.0636). fy_market_cap FY2025 69.656B vs TTM enterprise_value 98.7B.</t>
  </si>
  <si>
    <t xml:space="preserve">MRVL</t>
  </si>
  <si>
    <t xml:space="preserve">Marvell Technology Inc.</t>
  </si>
  <si>
    <t xml:space="preserve">FY ends late January (fiscal_year label = year of Jan end, e.g. FY2026 ended 2026-01-31). FY2026 net income includes large other income (total_other_income_expenses_net 1.708B; ebit 3.249B vs operating_income 1.338B). TTM valuation (pe 87.2, EV 234B) differs from FY2026 year-end (pe 25.5, EV 70B); copied as returned. Estimate EPS likely non-GAAP.</t>
  </si>
  <si>
    <t xml:space="preserve">MSTR</t>
  </si>
  <si>
    <t xml:space="preserve">Strategy Inc.</t>
  </si>
  <si>
    <t xml:space="preserve">Bitcoin-treasury company: capex/investing outflows are bitcoin purchases (FY2025 -22.5B), digital assets carried in goodwill_and_intangible_assets (58.9B) as returned; huge non-operating fair-value losses/gains drive net income. Preferred stock 6.92B within equity; preferred dividends paid -381367000 FY2025 (common dividends 0). TTM margins extreme (operating_margin -16.77 etc). Estimate EPS range very wide (2026 low -70.6 / high 66.2). FY2022 negative equity.</t>
  </si>
  <si>
    <t xml:space="preserve">NEE</t>
  </si>
  <si>
    <t xml:space="preserve">NextEra Energy Inc.</t>
  </si>
  <si>
    <t xml:space="preserve">Conventional Electricity</t>
  </si>
  <si>
    <t xml:space="preserve">Utility; FCF near zero/negative in several years (capex ~ OCF); FY2025 income_tax negative (-802000000) as returned; net_income 6834000000 includes noncontrolling vs continuing 5331000000.</t>
  </si>
  <si>
    <t xml:space="preserve">ORCL</t>
  </si>
  <si>
    <t xml:space="preserve">Oracle Corp.</t>
  </si>
  <si>
    <t xml:space="preserve">2026-05-31</t>
  </si>
  <si>
    <t xml:space="preserve">Fiscal year ends May. sector/industry not returned in requested sections (null). Negative free cash flow in FY2025 and FY2026 (capex -21215000000 and -55663000000). FY2026 balance sheet includes preferred_stock 4954000000. TTM pe_ratio 21.6 and ev_to_ebitda 13.8 differ from FY2026 values (41.8, 25.1); TTM enterprise_value 522309315400 vs FY2026 839075700000 (price-date basis). FY2022 total_equity negative. Estimates begin at FY2027.</t>
  </si>
  <si>
    <t xml:space="preserve">PANW</t>
  </si>
  <si>
    <t xml:space="preserve">Palo Alto Networks Inc.</t>
  </si>
  <si>
    <t xml:space="preserve">FY ends July. FY2026 reflects large acquisition (goodwill 22.0B, equity 27.5B). Estimate EPS (4.19 for FY2027) not comparable to reported FY2026 diluted EPS 0.44, likely non-GAAP basis. TTM interest_coverage returned 0.</t>
  </si>
  <si>
    <t xml:space="preserve">PLD</t>
  </si>
  <si>
    <t xml:space="preserve">Prologis Inc.</t>
  </si>
  <si>
    <t xml:space="preserve">Sector and industry null (company_overview section not requested). REIT: capex 0 in FY2023-FY2025 and goodwill_and_intangible_assets 0 in FY2025 as returned; FY2025 gross_profit/gross_margin differ from prior years (cost_of_revenue 3551403000) as returned. free_cash_flow equals operating_cash_flow where capex is 0, as returned. Analyst EPS is as returned.</t>
  </si>
  <si>
    <t xml:space="preserve">PLTR</t>
  </si>
  <si>
    <t xml:space="preserve">Palantir Technologies Inc.</t>
  </si>
  <si>
    <t xml:space="preserve">Net losses FY2021-FY2022 (negative PE ratios). interest_expense returned 0 for FY2025/FY2024 (interest_coverage 0). total_debt is lease obligations only. TTM net_margin 0.490 exceeds operating margin (large other income / TTM data appears inconsistent with FY2025 net_margin 0.363). FY2025 net_income 1625033000 vs continuing 1634644000. FY2024 shares_diluted 2450818000; FY2023 eps_diluted 0.0913.</t>
  </si>
  <si>
    <t xml:space="preserve">RBLX</t>
  </si>
  <si>
    <t xml:space="preserve">Roblox Corp.</t>
  </si>
  <si>
    <t xml:space="preserve">Toys</t>
  </si>
  <si>
    <t xml:space="preserve">Net losses all years; total_equity very small (374980000 incl. minority; stockholders equity 394484000) so equity-based ratios extreme. Negative PE/EBITDA multiples as returned.</t>
  </si>
  <si>
    <t xml:space="preserve">SBUX</t>
  </si>
  <si>
    <t xml:space="preserve">Starbucks Corp.</t>
  </si>
  <si>
    <t xml:space="preserve">Fiscal year ends September. Negative total equity. No FY2026 estimate returned (estimates start at FY2027). Tearsheet source FMP.</t>
  </si>
  <si>
    <t xml:space="preserve">SMCI</t>
  </si>
  <si>
    <t xml:space="preserve">Super Micro Computer Inc.</t>
  </si>
  <si>
    <t xml:space="preserve">FY ends June 30. FY2026 operating_cash_flow -6809886000 and free_cash_flow -6971885000 (inventory_change -8876747000, accounts_receivables_change -3921872000). FY2026 total_equity includes preferred_stock 4226258000. FY2024 and FY2025 eps_diluted (1.68) and shares_diluted (628402000) are identical in source. goodwill_and_intangible_assets returned 0 all years. TTM ratios differ from FY2026 (TTM return_on_equity 0.2508 vs FY 0.1540; TTM pe 10.6 vs FY 8.04) as returned.</t>
  </si>
  <si>
    <t xml:space="preserve">SNOW</t>
  </si>
  <si>
    <t xml:space="preserve">Snowflake Inc.</t>
  </si>
  <si>
    <t xml:space="preserve">Fiscal year ends January (fiscal_year label = calendar year of FY end, e.g. FY2026 ended 2026-01-31). GAAP net losses every year (negative PE, negative EBITDA); estimate EPS values are positive (likely non-GAAP basis). Total equity FY2025 incl. minority interest 3006643000 (stockholders 2999929000). TTM net_margin -0.201 vs FY2026 -0.284 (TTM differs from FY).</t>
  </si>
  <si>
    <t xml:space="preserve">SO</t>
  </si>
  <si>
    <t xml:space="preserve">Southern Co.</t>
  </si>
  <si>
    <t xml:space="preserve">Utility; FCF negative in most years (capex &gt; OCF). FY2025 gross_profit 8809000000 vs FY2024 13342000000 as returned (cost_of_revenue classification differs); TTM gross_margin 0.434 vs FY2025 0.298 as returned. TTM FCF yield positive 0.0256 while FY2025 negative, as returned.</t>
  </si>
  <si>
    <t xml:space="preserve">SOFI</t>
  </si>
  <si>
    <t xml:space="preserve">SoFi Technologies Inc.</t>
  </si>
  <si>
    <t xml:space="preserve">Specialty Finance</t>
  </si>
  <si>
    <t xml:space="preserve">Fintech/bank-like format: operating cash flow and free cash flow are heavily negative due to loan originations in working capital; total liabilities include large deposits (other_current_liabilities 37.5B). Net losses FY2021-FY2023. TTM ROIC -0.0177 vs FY2025 +0.0379. TTM figures may be inconsistent (e.g. ttm net_margin 0.114 vs FY 0.101). Copied as returned.</t>
  </si>
  <si>
    <t xml:space="preserve">T</t>
  </si>
  <si>
    <t xml:space="preserve">AT&amp;T Inc.</t>
  </si>
  <si>
    <t xml:space="preserve">Fixed Line Telecommunications</t>
  </si>
  <si>
    <t xml:space="preserve">Stock-based compensation returned as 0 for FY2025/2024/2023/2021. FY2025 net_income 21889000000 (attributable); from continuing ops 23386000000. FY2025 EPS 3.04 vs FY2026 estimate 2.34 as returned (FY2025 likely includes one-offs). total_equity includes minority interest; FY2024 and FY2023 goodwill_and_intangible_assets include large intangible (FCC licenses) vs FY2025 68679000000 as returned.</t>
  </si>
  <si>
    <t xml:space="preserve">TMUS</t>
  </si>
  <si>
    <t xml:space="preserve">T-Mobile US Inc.</t>
  </si>
  <si>
    <t xml:space="preserve">sector/industry not in the requested tearsheet sections (null). goodwill_and_intangible_assets as returned shows 116075000000/111559000000/111540000000/109527000000 for FY2021-2024 vs 17521000000 for FY2025 (series break as returned). FY2024 gross_profit 51747000000 vs cost_of_revenue 29653000000 and FY2025 gross_profit 42068000000 (classification change as returned). Tearsheet source FMP.</t>
  </si>
  <si>
    <t xml:space="preserve">TSLA</t>
  </si>
  <si>
    <t xml:space="preserve">Tesla Inc.</t>
  </si>
  <si>
    <t xml:space="preserve">Automobiles</t>
  </si>
  <si>
    <t xml:space="preserve">FY2025 net_income 3794000000 (net_income) vs net_income_from_continuing_operations 3855000000; copied net_income. FY2023 net income includes large tax benefit (income_tax -5001000000). FY2024 eps_diluted returned as 2.0383.</t>
  </si>
  <si>
    <t xml:space="preserve">UBER</t>
  </si>
  <si>
    <t xml:space="preserve">Uber Technologies Inc.</t>
  </si>
  <si>
    <t xml:space="preserve">Specialized Consumer Services</t>
  </si>
  <si>
    <t xml:space="preserve">FY2024 and FY2025 net_income inflated by large tax benefits (income_tax -5758000000 FY2024, -4346000000 FY2025); FY2025 net_income field 10053000000 (continuing ops 10093000000, bottom_line 10016000000). FY2022 includes large investment losses. total_equity includes minority_interest (FY2025 stockholders equity 27041000000). FY2026+ are estimates.</t>
  </si>
  <si>
    <t xml:space="preserve">UNH</t>
  </si>
  <si>
    <t xml:space="preserve">UnitedHealth Group Inc.</t>
  </si>
  <si>
    <t xml:space="preserve">Health Care Providers</t>
  </si>
  <si>
    <t xml:space="preserve">Managed-care format: gross_profit = revenue minus cost of revenue (medical costs); FY2025 net_income 12056000000 (attributable) vs 12807000000 from continuing ops. FY2025 EPS 13.23 GAAP vs FY2026 consensus 19.80 (likely adjusted basis). total_equity includes minority interest.</t>
  </si>
  <si>
    <t xml:space="preserve">VZ</t>
  </si>
  <si>
    <t xml:space="preserve">Verizon Communications Inc.</t>
  </si>
  <si>
    <t xml:space="preserve">SBC reported 0 and common_stock_repurchased 0 in all years. FY2025 goodwill_and_intangible_assets 33299000000 vs 190583000000 in FY2024 as returned. TTM current_ratio 0.604 vs FY2025 0.913. FY2025 cash_and_short_term_investments 19048000000 vs 4194000000 FY2024. total_equity includes minority interest (FY2025 total_stockholders_equity 104460000000). FY2025 key_metrics tangible_book_value_per_share 17.14 vs TTM -23.02 as returned.</t>
  </si>
  <si>
    <t xml:space="preserve">XOM</t>
  </si>
  <si>
    <t xml:space="preserve">ExxonMobil Holdings Corp.</t>
  </si>
  <si>
    <t xml:space="preserve">Estimates have wide low/high ranges (2026 SALES 372B-472B; 2027 EPS 10.13-15.64). FY2023 balance sheet and later show higher PP&amp;E/assets than FY2022. total_equity includes minority interest (FY2025 total_stockholders_equity 259386000000). Goodwill reported 0 in all years; FY2025 goodwill_and_intangible_assets 20908000000.</t>
  </si>
  <si>
    <t xml:space="preserve">הערות: 999 בכיסוי ריבית = אין הוצאות ריבית. 99 בחוב נטו/EBITDA = EBITDA שלילי עם חוב נטו (נכשל). ROIC של GS ושל חברות FIN אינו משמש (FIN נבדקות לפי ROE). המקור: Bigdata.com, ספק FMP, דוחות שנתיים, 13.10.2026.</t>
  </si>
  <si>
    <t xml:space="preserve">ticker</t>
  </si>
  <si>
    <t xml:space="preserve">fiscal_year</t>
  </si>
  <si>
    <t xml:space="preserve">report_date</t>
  </si>
  <si>
    <t xml:space="preserve">revenue</t>
  </si>
  <si>
    <t xml:space="preserve">gross_profit</t>
  </si>
  <si>
    <t xml:space="preserve">operating_income</t>
  </si>
  <si>
    <t xml:space="preserve">ebitda</t>
  </si>
  <si>
    <t xml:space="preserve">net_income</t>
  </si>
  <si>
    <t xml:space="preserve">eps_diluted</t>
  </si>
  <si>
    <t xml:space="preserve">shares_diluted</t>
  </si>
  <si>
    <t xml:space="preserve">interest_expense</t>
  </si>
  <si>
    <t xml:space="preserve">operating_cash_flow</t>
  </si>
  <si>
    <t xml:space="preserve">capex</t>
  </si>
  <si>
    <t xml:space="preserve">free_cash_flow</t>
  </si>
  <si>
    <t xml:space="preserve">stock_based_compensation</t>
  </si>
  <si>
    <t xml:space="preserve">total_debt</t>
  </si>
  <si>
    <t xml:space="preserve">cash_and_short_term_investments</t>
  </si>
  <si>
    <t xml:space="preserve">total_equity</t>
  </si>
  <si>
    <t xml:space="preserve">fy_pe_ratio</t>
  </si>
  <si>
    <t xml:space="preserve">2024-12-31</t>
  </si>
  <si>
    <t xml:space="preserve">2023-12-31</t>
  </si>
  <si>
    <t xml:space="preserve">2022-12-31</t>
  </si>
  <si>
    <t xml:space="preserve">2021-12-31</t>
  </si>
  <si>
    <t xml:space="preserve">2024-11-29</t>
  </si>
  <si>
    <t xml:space="preserve">2023-12-01</t>
  </si>
  <si>
    <t xml:space="preserve">2022-12-02</t>
  </si>
  <si>
    <t xml:space="preserve">2021-12-03</t>
  </si>
  <si>
    <t xml:space="preserve">2025-06-30</t>
  </si>
  <si>
    <t xml:space="preserve">2024-06-30</t>
  </si>
  <si>
    <t xml:space="preserve">2023-06-30</t>
  </si>
  <si>
    <t xml:space="preserve">2022-06-30</t>
  </si>
  <si>
    <t xml:space="preserve">2025-01-31</t>
  </si>
  <si>
    <t xml:space="preserve">2024-01-31</t>
  </si>
  <si>
    <t xml:space="preserve">2023-01-31</t>
  </si>
  <si>
    <t xml:space="preserve">2022-01-31</t>
  </si>
  <si>
    <t xml:space="preserve">2025-07-26</t>
  </si>
  <si>
    <t xml:space="preserve">2024-07-27</t>
  </si>
  <si>
    <t xml:space="preserve">2023-07-29</t>
  </si>
  <si>
    <t xml:space="preserve">2022-07-30</t>
  </si>
  <si>
    <t xml:space="preserve">2025-07-31</t>
  </si>
  <si>
    <t xml:space="preserve">2024-07-31</t>
  </si>
  <si>
    <t xml:space="preserve">2023-07-31</t>
  </si>
  <si>
    <t xml:space="preserve">2022-07-31</t>
  </si>
  <si>
    <t xml:space="preserve">2024-12-29</t>
  </si>
  <si>
    <t xml:space="preserve">2023-01-01</t>
  </si>
  <si>
    <t xml:space="preserve">2022-01-02</t>
  </si>
  <si>
    <t xml:space="preserve">2025-06-29</t>
  </si>
  <si>
    <t xml:space="preserve">2023-06-25</t>
  </si>
  <si>
    <t xml:space="preserve">2022-06-26</t>
  </si>
  <si>
    <t xml:space="preserve">2025-08-28</t>
  </si>
  <si>
    <t xml:space="preserve">2024-08-29</t>
  </si>
  <si>
    <t xml:space="preserve">2023-08-31</t>
  </si>
  <si>
    <t xml:space="preserve">2022-09-01</t>
  </si>
  <si>
    <t xml:space="preserve">2025-01-26</t>
  </si>
  <si>
    <t xml:space="preserve">2024-01-28</t>
  </si>
  <si>
    <t xml:space="preserve">2023-01-29</t>
  </si>
  <si>
    <t xml:space="preserve">2022-01-30</t>
  </si>
  <si>
    <t xml:space="preserve">2024-09-30</t>
  </si>
  <si>
    <t xml:space="preserve">2023-09-30</t>
  </si>
  <si>
    <t xml:space="preserve">2022-09-30</t>
  </si>
  <si>
    <t xml:space="preserve">2021-09-30</t>
  </si>
  <si>
    <t xml:space="preserve">2024-09-28</t>
  </si>
  <si>
    <t xml:space="preserve">2022-09-24</t>
  </si>
  <si>
    <t xml:space="preserve">2021-09-25</t>
  </si>
  <si>
    <t xml:space="preserve">2024-12-28</t>
  </si>
  <si>
    <t xml:space="preserve">2023-12-30</t>
  </si>
  <si>
    <t xml:space="preserve">2021-12-25</t>
  </si>
  <si>
    <t xml:space="preserve">2025-03-31</t>
  </si>
  <si>
    <t xml:space="preserve">2024-03-31</t>
  </si>
  <si>
    <t xml:space="preserve">2023-03-31</t>
  </si>
  <si>
    <t xml:space="preserve">2022-03-31</t>
  </si>
  <si>
    <t xml:space="preserve">2024-11-03</t>
  </si>
  <si>
    <t xml:space="preserve">2023-10-29</t>
  </si>
  <si>
    <t xml:space="preserve">2022-10-30</t>
  </si>
  <si>
    <t xml:space="preserve">2021-10-31</t>
  </si>
  <si>
    <t xml:space="preserve">2025-08-31</t>
  </si>
  <si>
    <t xml:space="preserve">2024-09-01</t>
  </si>
  <si>
    <t xml:space="preserve">2023-09-03</t>
  </si>
  <si>
    <t xml:space="preserve">2022-08-28</t>
  </si>
  <si>
    <t xml:space="preserve">2024-02-02</t>
  </si>
  <si>
    <t xml:space="preserve">2023-02-03</t>
  </si>
  <si>
    <t xml:space="preserve">2022-01-28</t>
  </si>
  <si>
    <t xml:space="preserve">2022-10-01</t>
  </si>
  <si>
    <t xml:space="preserve">2021-10-02</t>
  </si>
  <si>
    <t xml:space="preserve">2025-02-02</t>
  </si>
  <si>
    <t xml:space="preserve">2025-04-25</t>
  </si>
  <si>
    <t xml:space="preserve">2024-04-26</t>
  </si>
  <si>
    <t xml:space="preserve">2023-04-28</t>
  </si>
  <si>
    <t xml:space="preserve">2022-04-29</t>
  </si>
  <si>
    <t xml:space="preserve">2024-11-02</t>
  </si>
  <si>
    <t xml:space="preserve">2023-10-28</t>
  </si>
  <si>
    <t xml:space="preserve">2022-10-29</t>
  </si>
  <si>
    <t xml:space="preserve">2021-10-30</t>
  </si>
  <si>
    <t xml:space="preserve">2025-04-30</t>
  </si>
  <si>
    <t xml:space="preserve">2024-04-30</t>
  </si>
  <si>
    <t xml:space="preserve">2023-04-30</t>
  </si>
  <si>
    <t xml:space="preserve">2022-04-30</t>
  </si>
  <si>
    <t xml:space="preserve">2024-10-27</t>
  </si>
  <si>
    <t xml:space="preserve">2025-05-31</t>
  </si>
  <si>
    <t xml:space="preserve">2024-05-31</t>
  </si>
  <si>
    <t xml:space="preserve">2023-05-31</t>
  </si>
  <si>
    <t xml:space="preserve">2022-05-31</t>
  </si>
  <si>
    <t xml:space="preserve">ערכים גולמיים כפי שהוחזרו מ־Bigdata.com (ספק FMP), במטבע הדיווח, כולל שנים עתידיות אם הספק החזיר אותן (לא נכללו בחישוב: רק שנים עם תאריך דוח עד 13.10.2026).</t>
  </si>
</sst>
</file>

<file path=xl/styles.xml><?xml version="1.0" encoding="utf-8"?>
<styleSheet xmlns="http://schemas.openxmlformats.org/spreadsheetml/2006/main">
  <numFmts count="10">
    <numFmt numFmtId="164" formatCode="General"/>
    <numFmt numFmtId="165" formatCode="General"/>
    <numFmt numFmtId="166" formatCode="0%"/>
    <numFmt numFmtId="167" formatCode="0"/>
    <numFmt numFmtId="168" formatCode="0.00"/>
    <numFmt numFmtId="169" formatCode="0.0%"/>
    <numFmt numFmtId="170" formatCode="0.0\x"/>
    <numFmt numFmtId="171" formatCode="#,##0;\(#,##0\);\-"/>
    <numFmt numFmtId="172" formatCode="0.0\x;\-0.0\x"/>
    <numFmt numFmtId="173" formatCode="#,##0"/>
  </numFmts>
  <fonts count="11">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color rgb="FF008000"/>
      <name val="Arial"/>
      <family val="0"/>
      <charset val="1"/>
    </font>
    <font>
      <sz val="10"/>
      <name val="Arial"/>
      <family val="0"/>
      <charset val="1"/>
    </font>
    <font>
      <i val="true"/>
      <sz val="9"/>
      <name val="Arial"/>
      <family val="0"/>
      <charset val="1"/>
    </font>
    <font>
      <b val="true"/>
      <sz val="13"/>
      <name val="Arial"/>
      <family val="0"/>
      <charset val="1"/>
    </font>
    <font>
      <b val="true"/>
      <sz val="11"/>
      <name val="Arial"/>
      <family val="0"/>
      <charset val="1"/>
    </font>
    <font>
      <sz val="10"/>
      <color rgb="FF0000FF"/>
      <name val="Arial"/>
      <family val="0"/>
      <charset val="1"/>
    </font>
  </fonts>
  <fills count="3">
    <fill>
      <patternFill patternType="none"/>
    </fill>
    <fill>
      <patternFill patternType="gray125"/>
    </fill>
    <fill>
      <patternFill patternType="solid">
        <fgColor rgb="FF1F3864"/>
        <bgColor rgb="FF33333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8" fontId="5" fillId="0" borderId="0" xfId="0" applyFont="true" applyBorder="false" applyAlignment="false" applyProtection="false">
      <alignment horizontal="general" vertical="bottom" textRotation="0" wrapText="false" indent="0" shrinkToFit="false"/>
      <protection locked="true" hidden="false"/>
    </xf>
    <xf numFmtId="169" fontId="5" fillId="0" borderId="0" xfId="0" applyFont="true" applyBorder="false" applyAlignment="false" applyProtection="false">
      <alignment horizontal="general" vertical="bottom" textRotation="0" wrapText="false" indent="0" shrinkToFit="false"/>
      <protection locked="true" hidden="false"/>
    </xf>
    <xf numFmtId="169"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7" fontId="10" fillId="0" borderId="0" xfId="0" applyFont="true" applyBorder="false" applyAlignment="false" applyProtection="false">
      <alignment horizontal="general" vertical="bottom" textRotation="0" wrapText="false" indent="0" shrinkToFit="false"/>
      <protection locked="true" hidden="false"/>
    </xf>
    <xf numFmtId="170" fontId="10" fillId="0" borderId="0" xfId="0" applyFont="true" applyBorder="false" applyAlignment="false" applyProtection="false">
      <alignment horizontal="general" vertical="bottom" textRotation="0" wrapText="false" indent="0" shrinkToFit="false"/>
      <protection locked="true" hidden="false"/>
    </xf>
    <xf numFmtId="168" fontId="10" fillId="0" borderId="0" xfId="0" applyFont="true" applyBorder="false" applyAlignment="false" applyProtection="false">
      <alignment horizontal="general" vertical="bottom" textRotation="0" wrapText="false" indent="0" shrinkToFit="false"/>
      <protection locked="true" hidden="false"/>
    </xf>
    <xf numFmtId="169" fontId="10"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71" fontId="6" fillId="0" borderId="0" xfId="0" applyFont="true" applyBorder="false" applyAlignment="false" applyProtection="false">
      <alignment horizontal="general" vertical="bottom" textRotation="0" wrapText="false" indent="0" shrinkToFit="false"/>
      <protection locked="true" hidden="false"/>
    </xf>
    <xf numFmtId="172" fontId="6" fillId="0" borderId="0" xfId="0" applyFont="true" applyBorder="false" applyAlignment="false" applyProtection="false">
      <alignment horizontal="general" vertical="bottom" textRotation="0" wrapText="false" indent="0" shrinkToFit="false"/>
      <protection locked="true" hidden="false"/>
    </xf>
    <xf numFmtId="170" fontId="6" fillId="0" borderId="0" xfId="0" applyFont="true" applyBorder="false" applyAlignment="false" applyProtection="false">
      <alignment horizontal="general" vertical="bottom" textRotation="0" wrapText="false" indent="0" shrinkToFit="false"/>
      <protection locked="true" hidden="false"/>
    </xf>
    <xf numFmtId="168" fontId="6" fillId="0" borderId="0" xfId="0" applyFont="true" applyBorder="false" applyAlignment="false" applyProtection="false">
      <alignment horizontal="general" vertical="bottom" textRotation="0" wrapText="false" indent="0" shrinkToFit="false"/>
      <protection locked="true" hidden="false"/>
    </xf>
    <xf numFmtId="173"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patternType="solid">
          <fgColor rgb="FF1F3864"/>
          <bgColor rgb="FF000000"/>
        </patternFill>
      </fill>
    </dxf>
    <dxf>
      <fill>
        <patternFill patternType="solid">
          <bgColor rgb="FF000000"/>
        </patternFill>
      </fill>
    </dxf>
    <dxf>
      <fill>
        <patternFill patternType="solid">
          <fgColor rgb="FF008000"/>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F2F2F2"/>
          <bgColor rgb="FF000000"/>
        </patternFill>
      </fill>
    </dxf>
    <dxf>
      <fill>
        <patternFill patternType="solid">
          <fgColor rgb="FFFFEB9C"/>
          <bgColor rgb="FF000000"/>
        </patternFill>
      </fill>
    </dxf>
    <dxf>
      <fill>
        <patternFill patternType="solid">
          <fgColor rgb="FFFFC7CE"/>
          <bgColor rgb="FF000000"/>
        </patternFill>
      </fill>
    </dxf>
    <dxf>
      <fill>
        <patternFill>
          <bgColor rgb="FFC6EFCE"/>
        </patternFill>
      </fill>
    </dxf>
    <dxf>
      <fill>
        <patternFill>
          <bgColor rgb="FFFFEB9C"/>
        </patternFill>
      </fill>
    </dxf>
    <dxf>
      <fill>
        <patternFill>
          <bgColor rgb="FFF2F2F2"/>
        </patternFill>
      </fill>
    </dxf>
    <dxf>
      <fill>
        <patternFill>
          <bgColor rgb="FFFFC7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12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6"/>
    <col collapsed="false" customWidth="true" hidden="false" outlineLevel="0" max="3" min="3" style="0" width="10"/>
    <col collapsed="false" customWidth="true" hidden="false" outlineLevel="0" max="4" min="4" style="0" width="11"/>
    <col collapsed="false" customWidth="true" hidden="false" outlineLevel="0" max="7" min="5" style="0" width="9"/>
    <col collapsed="false" customWidth="true" hidden="false" outlineLevel="0" max="8" min="8" style="0" width="10"/>
    <col collapsed="false" customWidth="true" hidden="false" outlineLevel="0" max="11" min="9" style="0" width="9"/>
    <col collapsed="false" customWidth="true" hidden="false" outlineLevel="0" max="12" min="12" style="0" width="30"/>
    <col collapsed="false" customWidth="true" hidden="false" outlineLevel="0" max="14" min="13" style="0" width="10"/>
    <col collapsed="false" customWidth="true" hidden="false" outlineLevel="0" max="15" min="15" style="0" width="9"/>
    <col collapsed="false" customWidth="true" hidden="false" outlineLevel="0" max="17" min="16" style="0" width="8"/>
    <col collapsed="false" customWidth="true" hidden="false" outlineLevel="0" max="18" min="18" style="0" width="22"/>
    <col collapsed="false" customWidth="true" hidden="false" outlineLevel="0" max="19" min="19" style="0" width="10"/>
    <col collapsed="false" customWidth="true" hidden="false" outlineLevel="0" max="21" min="20" style="0" width="9"/>
    <col collapsed="false" customWidth="true" hidden="false" outlineLevel="0" max="22" min="22" style="0" width="8"/>
    <col collapsed="false" customWidth="true" hidden="false" outlineLevel="0" max="23" min="23" style="0" width="9"/>
  </cols>
  <sheetData>
    <row r="1" customFormat="false" ht="42"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customFormat="false" ht="15" hidden="false" customHeight="false" outlineLevel="0" collapsed="false">
      <c r="A2" s="2" t="str">
        <f aca="false">Data!A2</f>
        <v>ABNB</v>
      </c>
      <c r="B2" s="2" t="str">
        <f aca="false">Data!B2</f>
        <v>Airbnb Inc.</v>
      </c>
      <c r="C2" s="2" t="str">
        <f aca="false">Data!F2</f>
        <v>STD</v>
      </c>
      <c r="D2" s="3" t="str">
        <f aca="false">IF(E2=0,"CORE",IF(E2=1,"WATCH","NON-CORE"))</f>
        <v>CORE</v>
      </c>
      <c r="E2" s="4" t="n">
        <f aca="false">COUNTIF(F2:K2,"FAIL")</f>
        <v>0</v>
      </c>
      <c r="F2" s="3" t="str">
        <f aca="false">IF(C2="FIN",IF(Data!M2=Data!H2,"PASS","FAIL"),IF(AND(ISNUMBER(Data!L2),Data!L2&gt;=Rules!$B$5,IF(Data!H2&lt;5,Data!M2=Data!H2,Data!M2&gt;=Rules!$B$6)),"PASS","FAIL"))</f>
        <v>PASS</v>
      </c>
      <c r="G2" s="3" t="str">
        <f aca="false">IF(C2="FIN","n/a",IF(C2="UTIL/REIT",IF(Data!Q2=Data!H2,"PASS","FAIL"),IF(AND(ISNUMBER(Data!N2),Data!N2&gt;0,IF(Data!H2&lt;5,Data!P2=Data!H2,Data!P2&gt;=Rules!$B$7)),"PASS","FAIL")))</f>
        <v>PASS</v>
      </c>
      <c r="H2" s="3" t="str">
        <f aca="false">IF(C2="FIN",IF(AND(ISNUMBER(Data!S2),Data!S2&gt;=Rules!$B$15),"PASS","FAIL"),IF(AND(ISNUMBER(Data!R2),Data!R2&gt;=Rules!$B$8),"PASS","FAIL"))</f>
        <v>PASS</v>
      </c>
      <c r="I2" s="3" t="str">
        <f aca="false">IF(C2="FIN","n/a",IF(C2="UTIL/REIT",IF(AND(Data!U2&lt;=Rules!$B$16,Data!V2&gt;=Rules!$B$17),"PASS","FAIL"),IF(AND(Data!U2&lt;=Rules!$B$9,Data!V2&gt;=Rules!$B$10),"PASS","FAIL")))</f>
        <v>PASS</v>
      </c>
      <c r="J2" s="3" t="str">
        <f aca="false">IF(AND(ISNUMBER(Data!J2),ISNUMBER(Data!K2)),IF(AND(Data!J2&gt;=Rules!$B$11,Data!K2&gt;=Rules!$B$12),"PASS","FAIL"),"FAIL")</f>
        <v>PASS</v>
      </c>
      <c r="K2" s="3" t="str">
        <f aca="false">IF(AND(ISNUMBER(Data!W2),ISNUMBER(Data!X2)),IF(AND(Data!W2&lt;=Rules!$B$13,Data!X2&lt;=Rules!$B$14),"PASS","FAIL"),"FAIL")</f>
        <v>PASS</v>
      </c>
      <c r="L2" s="4" t="str">
        <f aca="false">IF(F2="FAIL","רווחיות; ","")&amp;IF(G2="FAIL","תזרים; ","")&amp;IF(H2="FAIL","תשואה על ההון; ","")&amp;IF(I2="FAIL","מאזן; ","")&amp;IF(J2="FAIL","צמיחה; ","")&amp;IF(K2="FAIL","דילול; ","")</f>
        <v/>
      </c>
      <c r="M2" s="4" t="s">
        <v>23</v>
      </c>
      <c r="N2" s="5" t="n">
        <f aca="false">IF(M2="EXTREME",Rules!$B$23,IF(M2="HIGH",Rules!$B$22,Rules!$B$21))</f>
        <v>0.06</v>
      </c>
      <c r="O2" s="6" t="n">
        <v>31.3507175936019</v>
      </c>
      <c r="P2" s="4" t="s">
        <v>24</v>
      </c>
      <c r="Q2" s="4" t="s">
        <v>25</v>
      </c>
      <c r="R2" s="4" t="str">
        <f aca="false">IF(Q2="כן",P2,"לא רלוונטי (SMA200 יורד)")</f>
        <v>Q2</v>
      </c>
      <c r="S2" s="4" t="str">
        <f aca="false">IF(NOT(ISNUMBER(T2)),"n/a",IF(AND(T2&gt;Rules!$B$18,ISNUMBER(U2),U2&lt;Rules!$B$19),"יקרה",IF(T2&lt;Rules!$B$20,"זולה","הוגנת")))</f>
        <v>הוגנת</v>
      </c>
      <c r="T2" s="7" t="n">
        <f aca="false">Data!AA2</f>
        <v>1.23456542622521</v>
      </c>
      <c r="U2" s="8" t="n">
        <f aca="false">Data!AC2</f>
        <v>0.0499670788533561</v>
      </c>
      <c r="V2" s="9" t="n">
        <v>0.0297</v>
      </c>
      <c r="W2" s="5" t="n">
        <v>-0.6023</v>
      </c>
    </row>
    <row r="3" customFormat="false" ht="15" hidden="false" customHeight="false" outlineLevel="0" collapsed="false">
      <c r="A3" s="2" t="str">
        <f aca="false">Data!A3</f>
        <v>ADBE</v>
      </c>
      <c r="B3" s="2" t="str">
        <f aca="false">Data!B3</f>
        <v>Adobe Inc.</v>
      </c>
      <c r="C3" s="2" t="str">
        <f aca="false">Data!F3</f>
        <v>STD</v>
      </c>
      <c r="D3" s="3" t="str">
        <f aca="false">IF(E3=0,"CORE",IF(E3=1,"WATCH","NON-CORE"))</f>
        <v>CORE</v>
      </c>
      <c r="E3" s="4" t="n">
        <f aca="false">COUNTIF(F3:K3,"FAIL")</f>
        <v>0</v>
      </c>
      <c r="F3" s="3" t="str">
        <f aca="false">IF(C3="FIN",IF(Data!M3=Data!H3,"PASS","FAIL"),IF(AND(ISNUMBER(Data!L3),Data!L3&gt;=Rules!$B$5,IF(Data!H3&lt;5,Data!M3=Data!H3,Data!M3&gt;=Rules!$B$6)),"PASS","FAIL"))</f>
        <v>PASS</v>
      </c>
      <c r="G3" s="3" t="str">
        <f aca="false">IF(C3="FIN","n/a",IF(C3="UTIL/REIT",IF(Data!Q3=Data!H3,"PASS","FAIL"),IF(AND(ISNUMBER(Data!N3),Data!N3&gt;0,IF(Data!H3&lt;5,Data!P3=Data!H3,Data!P3&gt;=Rules!$B$7)),"PASS","FAIL")))</f>
        <v>PASS</v>
      </c>
      <c r="H3" s="3" t="str">
        <f aca="false">IF(C3="FIN",IF(AND(ISNUMBER(Data!S3),Data!S3&gt;=Rules!$B$15),"PASS","FAIL"),IF(AND(ISNUMBER(Data!R3),Data!R3&gt;=Rules!$B$8),"PASS","FAIL"))</f>
        <v>PASS</v>
      </c>
      <c r="I3" s="3" t="str">
        <f aca="false">IF(C3="FIN","n/a",IF(C3="UTIL/REIT",IF(AND(Data!U3&lt;=Rules!$B$16,Data!V3&gt;=Rules!$B$17),"PASS","FAIL"),IF(AND(Data!U3&lt;=Rules!$B$9,Data!V3&gt;=Rules!$B$10),"PASS","FAIL")))</f>
        <v>PASS</v>
      </c>
      <c r="J3" s="3" t="str">
        <f aca="false">IF(AND(ISNUMBER(Data!J3),ISNUMBER(Data!K3)),IF(AND(Data!J3&gt;=Rules!$B$11,Data!K3&gt;=Rules!$B$12),"PASS","FAIL"),"FAIL")</f>
        <v>PASS</v>
      </c>
      <c r="K3" s="3" t="str">
        <f aca="false">IF(AND(ISNUMBER(Data!W3),ISNUMBER(Data!X3)),IF(AND(Data!W3&lt;=Rules!$B$13,Data!X3&lt;=Rules!$B$14),"PASS","FAIL"),"FAIL")</f>
        <v>PASS</v>
      </c>
      <c r="L3" s="4" t="str">
        <f aca="false">IF(F3="FAIL","רווחיות; ","")&amp;IF(G3="FAIL","תזרים; ","")&amp;IF(H3="FAIL","תשואה על ההון; ","")&amp;IF(I3="FAIL","מאזן; ","")&amp;IF(J3="FAIL","צמיחה; ","")&amp;IF(K3="FAIL","דילול; ","")</f>
        <v/>
      </c>
      <c r="M3" s="4" t="s">
        <v>26</v>
      </c>
      <c r="N3" s="5" t="n">
        <f aca="false">IF(M3="EXTREME",Rules!$B$23,IF(M3="HIGH",Rules!$B$22,Rules!$B$21))</f>
        <v>0.03</v>
      </c>
      <c r="O3" s="6" t="n">
        <v>53.6445527906629</v>
      </c>
      <c r="P3" s="4" t="s">
        <v>27</v>
      </c>
      <c r="Q3" s="4" t="s">
        <v>28</v>
      </c>
      <c r="R3" s="4" t="str">
        <f aca="false">IF(Q3="כן",P3,"לא רלוונטי (SMA200 יורד)")</f>
        <v>לא רלוונטי (SMA200 יורד)</v>
      </c>
      <c r="S3" s="4" t="str">
        <f aca="false">IF(NOT(ISNUMBER(T3)),"n/a",IF(AND(T3&gt;Rules!$B$18,ISNUMBER(U3),U3&lt;Rules!$B$19),"יקרה",IF(T3&lt;Rules!$B$20,"זולה","הוגנת")))</f>
        <v>זולה</v>
      </c>
      <c r="T3" s="7" t="n">
        <f aca="false">Data!AA3</f>
        <v>0.318807806569601</v>
      </c>
      <c r="U3" s="8" t="n">
        <f aca="false">Data!AC3</f>
        <v>0.115951584505458</v>
      </c>
      <c r="V3" s="9" t="n">
        <v>0.0366</v>
      </c>
      <c r="W3" s="5" t="n">
        <v>-0.7189</v>
      </c>
    </row>
    <row r="4" customFormat="false" ht="15" hidden="false" customHeight="false" outlineLevel="0" collapsed="false">
      <c r="A4" s="2" t="str">
        <f aca="false">Data!A4</f>
        <v>ADP</v>
      </c>
      <c r="B4" s="2" t="str">
        <f aca="false">Data!B4</f>
        <v>Automatic Data Processing Inc.</v>
      </c>
      <c r="C4" s="2" t="str">
        <f aca="false">Data!F4</f>
        <v>STD</v>
      </c>
      <c r="D4" s="3" t="str">
        <f aca="false">IF(E4=0,"CORE",IF(E4=1,"WATCH","NON-CORE"))</f>
        <v>CORE</v>
      </c>
      <c r="E4" s="4" t="n">
        <f aca="false">COUNTIF(F4:K4,"FAIL")</f>
        <v>0</v>
      </c>
      <c r="F4" s="3" t="str">
        <f aca="false">IF(C4="FIN",IF(Data!M4=Data!H4,"PASS","FAIL"),IF(AND(ISNUMBER(Data!L4),Data!L4&gt;=Rules!$B$5,IF(Data!H4&lt;5,Data!M4=Data!H4,Data!M4&gt;=Rules!$B$6)),"PASS","FAIL"))</f>
        <v>PASS</v>
      </c>
      <c r="G4" s="3" t="str">
        <f aca="false">IF(C4="FIN","n/a",IF(C4="UTIL/REIT",IF(Data!Q4=Data!H4,"PASS","FAIL"),IF(AND(ISNUMBER(Data!N4),Data!N4&gt;0,IF(Data!H4&lt;5,Data!P4=Data!H4,Data!P4&gt;=Rules!$B$7)),"PASS","FAIL")))</f>
        <v>PASS</v>
      </c>
      <c r="H4" s="3" t="str">
        <f aca="false">IF(C4="FIN",IF(AND(ISNUMBER(Data!S4),Data!S4&gt;=Rules!$B$15),"PASS","FAIL"),IF(AND(ISNUMBER(Data!R4),Data!R4&gt;=Rules!$B$8),"PASS","FAIL"))</f>
        <v>PASS</v>
      </c>
      <c r="I4" s="3" t="str">
        <f aca="false">IF(C4="FIN","n/a",IF(C4="UTIL/REIT",IF(AND(Data!U4&lt;=Rules!$B$16,Data!V4&gt;=Rules!$B$17),"PASS","FAIL"),IF(AND(Data!U4&lt;=Rules!$B$9,Data!V4&gt;=Rules!$B$10),"PASS","FAIL")))</f>
        <v>PASS</v>
      </c>
      <c r="J4" s="3" t="str">
        <f aca="false">IF(AND(ISNUMBER(Data!J4),ISNUMBER(Data!K4)),IF(AND(Data!J4&gt;=Rules!$B$11,Data!K4&gt;=Rules!$B$12),"PASS","FAIL"),"FAIL")</f>
        <v>PASS</v>
      </c>
      <c r="K4" s="3" t="str">
        <f aca="false">IF(AND(ISNUMBER(Data!W4),ISNUMBER(Data!X4)),IF(AND(Data!W4&lt;=Rules!$B$13,Data!X4&lt;=Rules!$B$14),"PASS","FAIL"),"FAIL")</f>
        <v>PASS</v>
      </c>
      <c r="L4" s="4" t="str">
        <f aca="false">IF(F4="FAIL","רווחיות; ","")&amp;IF(G4="FAIL","תזרים; ","")&amp;IF(H4="FAIL","תשואה על ההון; ","")&amp;IF(I4="FAIL","מאזן; ","")&amp;IF(J4="FAIL","צמיחה; ","")&amp;IF(K4="FAIL","דילול; ","")</f>
        <v/>
      </c>
      <c r="M4" s="4" t="s">
        <v>29</v>
      </c>
      <c r="N4" s="5" t="n">
        <f aca="false">IF(M4="EXTREME",Rules!$B$23,IF(M4="HIGH",Rules!$B$22,Rules!$B$21))</f>
        <v>0.1</v>
      </c>
      <c r="O4" s="6" t="n">
        <v>44.5913668873821</v>
      </c>
      <c r="P4" s="4" t="s">
        <v>24</v>
      </c>
      <c r="Q4" s="4" t="s">
        <v>25</v>
      </c>
      <c r="R4" s="4" t="str">
        <f aca="false">IF(Q4="כן",P4,"לא רלוונטי (SMA200 יורד)")</f>
        <v>Q2</v>
      </c>
      <c r="S4" s="4" t="str">
        <f aca="false">IF(NOT(ISNUMBER(T4)),"n/a",IF(AND(T4&gt;Rules!$B$18,ISNUMBER(U4),U4&lt;Rules!$B$19),"יקרה",IF(T4&lt;Rules!$B$20,"זולה","הוגנת")))</f>
        <v>הוגנת</v>
      </c>
      <c r="T4" s="7" t="n">
        <f aca="false">Data!AA4</f>
        <v>0.942775491795994</v>
      </c>
      <c r="U4" s="8" t="n">
        <f aca="false">Data!AC4</f>
        <v>0.0452093550424294</v>
      </c>
      <c r="V4" s="9" t="n">
        <v>0.0222</v>
      </c>
      <c r="W4" s="5" t="n">
        <v>-0.4223</v>
      </c>
    </row>
    <row r="5" customFormat="false" ht="15" hidden="false" customHeight="false" outlineLevel="0" collapsed="false">
      <c r="A5" s="2" t="str">
        <f aca="false">Data!A5</f>
        <v>ANET</v>
      </c>
      <c r="B5" s="2" t="str">
        <f aca="false">Data!B5</f>
        <v>Arista Networks Inc.</v>
      </c>
      <c r="C5" s="2" t="str">
        <f aca="false">Data!F5</f>
        <v>STD</v>
      </c>
      <c r="D5" s="3" t="str">
        <f aca="false">IF(E5=0,"CORE",IF(E5=1,"WATCH","NON-CORE"))</f>
        <v>CORE</v>
      </c>
      <c r="E5" s="4" t="n">
        <f aca="false">COUNTIF(F5:K5,"FAIL")</f>
        <v>0</v>
      </c>
      <c r="F5" s="3" t="str">
        <f aca="false">IF(C5="FIN",IF(Data!M5=Data!H5,"PASS","FAIL"),IF(AND(ISNUMBER(Data!L5),Data!L5&gt;=Rules!$B$5,IF(Data!H5&lt;5,Data!M5=Data!H5,Data!M5&gt;=Rules!$B$6)),"PASS","FAIL"))</f>
        <v>PASS</v>
      </c>
      <c r="G5" s="3" t="str">
        <f aca="false">IF(C5="FIN","n/a",IF(C5="UTIL/REIT",IF(Data!Q5=Data!H5,"PASS","FAIL"),IF(AND(ISNUMBER(Data!N5),Data!N5&gt;0,IF(Data!H5&lt;5,Data!P5=Data!H5,Data!P5&gt;=Rules!$B$7)),"PASS","FAIL")))</f>
        <v>PASS</v>
      </c>
      <c r="H5" s="3" t="str">
        <f aca="false">IF(C5="FIN",IF(AND(ISNUMBER(Data!S5),Data!S5&gt;=Rules!$B$15),"PASS","FAIL"),IF(AND(ISNUMBER(Data!R5),Data!R5&gt;=Rules!$B$8),"PASS","FAIL"))</f>
        <v>PASS</v>
      </c>
      <c r="I5" s="3" t="str">
        <f aca="false">IF(C5="FIN","n/a",IF(C5="UTIL/REIT",IF(AND(Data!U5&lt;=Rules!$B$16,Data!V5&gt;=Rules!$B$17),"PASS","FAIL"),IF(AND(Data!U5&lt;=Rules!$B$9,Data!V5&gt;=Rules!$B$10),"PASS","FAIL")))</f>
        <v>PASS</v>
      </c>
      <c r="J5" s="3" t="str">
        <f aca="false">IF(AND(ISNUMBER(Data!J5),ISNUMBER(Data!K5)),IF(AND(Data!J5&gt;=Rules!$B$11,Data!K5&gt;=Rules!$B$12),"PASS","FAIL"),"FAIL")</f>
        <v>PASS</v>
      </c>
      <c r="K5" s="3" t="str">
        <f aca="false">IF(AND(ISNUMBER(Data!W5),ISNUMBER(Data!X5)),IF(AND(Data!W5&lt;=Rules!$B$13,Data!X5&lt;=Rules!$B$14),"PASS","FAIL"),"FAIL")</f>
        <v>PASS</v>
      </c>
      <c r="L5" s="4" t="str">
        <f aca="false">IF(F5="FAIL","רווחיות; ","")&amp;IF(G5="FAIL","תזרים; ","")&amp;IF(H5="FAIL","תשואה על ההון; ","")&amp;IF(I5="FAIL","מאזן; ","")&amp;IF(J5="FAIL","צמיחה; ","")&amp;IF(K5="FAIL","דילול; ","")</f>
        <v/>
      </c>
      <c r="M5" s="4" t="s">
        <v>26</v>
      </c>
      <c r="N5" s="5" t="n">
        <f aca="false">IF(M5="EXTREME",Rules!$B$23,IF(M5="HIGH",Rules!$B$22,Rules!$B$21))</f>
        <v>0.03</v>
      </c>
      <c r="O5" s="6" t="n">
        <v>27.5461256011541</v>
      </c>
      <c r="P5" s="4" t="s">
        <v>24</v>
      </c>
      <c r="Q5" s="4" t="s">
        <v>25</v>
      </c>
      <c r="R5" s="4" t="str">
        <f aca="false">IF(Q5="כן",P5,"לא רלוונטי (SMA200 יורד)")</f>
        <v>Q2</v>
      </c>
      <c r="S5" s="4" t="str">
        <f aca="false">IF(NOT(ISNUMBER(T5)),"n/a",IF(AND(T5&gt;Rules!$B$18,ISNUMBER(U5),U5&lt;Rules!$B$19),"יקרה",IF(T5&lt;Rules!$B$20,"זולה","הוגנת")))</f>
        <v>יקרה</v>
      </c>
      <c r="T5" s="7" t="n">
        <f aca="false">Data!AA5</f>
        <v>1.39882640844895</v>
      </c>
      <c r="U5" s="8" t="n">
        <f aca="false">Data!AC5</f>
        <v>0.0194148650422832</v>
      </c>
      <c r="V5" s="9" t="n">
        <v>0.0422</v>
      </c>
      <c r="W5" s="5" t="n">
        <v>-0.5043</v>
      </c>
    </row>
    <row r="6" customFormat="false" ht="15" hidden="false" customHeight="false" outlineLevel="0" collapsed="false">
      <c r="A6" s="2" t="str">
        <f aca="false">Data!A6</f>
        <v>APH</v>
      </c>
      <c r="B6" s="2" t="str">
        <f aca="false">Data!B6</f>
        <v>Amphenol Corp.</v>
      </c>
      <c r="C6" s="2" t="str">
        <f aca="false">Data!F6</f>
        <v>STD</v>
      </c>
      <c r="D6" s="3" t="str">
        <f aca="false">IF(E6=0,"CORE",IF(E6=1,"WATCH","NON-CORE"))</f>
        <v>CORE</v>
      </c>
      <c r="E6" s="4" t="n">
        <f aca="false">COUNTIF(F6:K6,"FAIL")</f>
        <v>0</v>
      </c>
      <c r="F6" s="3" t="str">
        <f aca="false">IF(C6="FIN",IF(Data!M6=Data!H6,"PASS","FAIL"),IF(AND(ISNUMBER(Data!L6),Data!L6&gt;=Rules!$B$5,IF(Data!H6&lt;5,Data!M6=Data!H6,Data!M6&gt;=Rules!$B$6)),"PASS","FAIL"))</f>
        <v>PASS</v>
      </c>
      <c r="G6" s="3" t="str">
        <f aca="false">IF(C6="FIN","n/a",IF(C6="UTIL/REIT",IF(Data!Q6=Data!H6,"PASS","FAIL"),IF(AND(ISNUMBER(Data!N6),Data!N6&gt;0,IF(Data!H6&lt;5,Data!P6=Data!H6,Data!P6&gt;=Rules!$B$7)),"PASS","FAIL")))</f>
        <v>PASS</v>
      </c>
      <c r="H6" s="3" t="str">
        <f aca="false">IF(C6="FIN",IF(AND(ISNUMBER(Data!S6),Data!S6&gt;=Rules!$B$15),"PASS","FAIL"),IF(AND(ISNUMBER(Data!R6),Data!R6&gt;=Rules!$B$8),"PASS","FAIL"))</f>
        <v>PASS</v>
      </c>
      <c r="I6" s="3" t="str">
        <f aca="false">IF(C6="FIN","n/a",IF(C6="UTIL/REIT",IF(AND(Data!U6&lt;=Rules!$B$16,Data!V6&gt;=Rules!$B$17),"PASS","FAIL"),IF(AND(Data!U6&lt;=Rules!$B$9,Data!V6&gt;=Rules!$B$10),"PASS","FAIL")))</f>
        <v>PASS</v>
      </c>
      <c r="J6" s="3" t="str">
        <f aca="false">IF(AND(ISNUMBER(Data!J6),ISNUMBER(Data!K6)),IF(AND(Data!J6&gt;=Rules!$B$11,Data!K6&gt;=Rules!$B$12),"PASS","FAIL"),"FAIL")</f>
        <v>PASS</v>
      </c>
      <c r="K6" s="3" t="str">
        <f aca="false">IF(AND(ISNUMBER(Data!W6),ISNUMBER(Data!X6)),IF(AND(Data!W6&lt;=Rules!$B$13,Data!X6&lt;=Rules!$B$14),"PASS","FAIL"),"FAIL")</f>
        <v>PASS</v>
      </c>
      <c r="L6" s="4" t="str">
        <f aca="false">IF(F6="FAIL","רווחיות; ","")&amp;IF(G6="FAIL","תזרים; ","")&amp;IF(H6="FAIL","תשואה על ההון; ","")&amp;IF(I6="FAIL","מאזן; ","")&amp;IF(J6="FAIL","צמיחה; ","")&amp;IF(K6="FAIL","דילול; ","")</f>
        <v/>
      </c>
      <c r="M6" s="4" t="s">
        <v>23</v>
      </c>
      <c r="N6" s="5" t="n">
        <f aca="false">IF(M6="EXTREME",Rules!$B$23,IF(M6="HIGH",Rules!$B$22,Rules!$B$21))</f>
        <v>0.06</v>
      </c>
      <c r="O6" s="6" t="n">
        <v>45.7080869794342</v>
      </c>
      <c r="P6" s="4" t="s">
        <v>24</v>
      </c>
      <c r="Q6" s="4" t="s">
        <v>25</v>
      </c>
      <c r="R6" s="4" t="str">
        <f aca="false">IF(Q6="כן",P6,"לא רלוונטי (SMA200 יורד)")</f>
        <v>Q2</v>
      </c>
      <c r="S6" s="4" t="str">
        <f aca="false">IF(NOT(ISNUMBER(T6)),"n/a",IF(AND(T6&gt;Rules!$B$18,ISNUMBER(U6),U6&lt;Rules!$B$19),"יקרה",IF(T6&lt;Rules!$B$20,"זולה","הוגנת")))</f>
        <v>הוגנת</v>
      </c>
      <c r="T6" s="7" t="n">
        <f aca="false">Data!AA6</f>
        <v>1.22974394147234</v>
      </c>
      <c r="U6" s="8" t="n">
        <f aca="false">Data!AC6</f>
        <v>0.0221778289872006</v>
      </c>
      <c r="V6" s="9" t="n">
        <v>0.0335</v>
      </c>
      <c r="W6" s="5" t="n">
        <v>-0.2887</v>
      </c>
    </row>
    <row r="7" customFormat="false" ht="15" hidden="false" customHeight="false" outlineLevel="0" collapsed="false">
      <c r="A7" s="2" t="str">
        <f aca="false">Data!A7</f>
        <v>APP</v>
      </c>
      <c r="B7" s="2" t="str">
        <f aca="false">Data!B7</f>
        <v>AppLovin Corp.</v>
      </c>
      <c r="C7" s="2" t="str">
        <f aca="false">Data!F7</f>
        <v>STD</v>
      </c>
      <c r="D7" s="3" t="str">
        <f aca="false">IF(E7=0,"CORE",IF(E7=1,"WATCH","NON-CORE"))</f>
        <v>CORE</v>
      </c>
      <c r="E7" s="4" t="n">
        <f aca="false">COUNTIF(F7:K7,"FAIL")</f>
        <v>0</v>
      </c>
      <c r="F7" s="3" t="str">
        <f aca="false">IF(C7="FIN",IF(Data!M7=Data!H7,"PASS","FAIL"),IF(AND(ISNUMBER(Data!L7),Data!L7&gt;=Rules!$B$5,IF(Data!H7&lt;5,Data!M7=Data!H7,Data!M7&gt;=Rules!$B$6)),"PASS","FAIL"))</f>
        <v>PASS</v>
      </c>
      <c r="G7" s="3" t="str">
        <f aca="false">IF(C7="FIN","n/a",IF(C7="UTIL/REIT",IF(Data!Q7=Data!H7,"PASS","FAIL"),IF(AND(ISNUMBER(Data!N7),Data!N7&gt;0,IF(Data!H7&lt;5,Data!P7=Data!H7,Data!P7&gt;=Rules!$B$7)),"PASS","FAIL")))</f>
        <v>PASS</v>
      </c>
      <c r="H7" s="3" t="str">
        <f aca="false">IF(C7="FIN",IF(AND(ISNUMBER(Data!S7),Data!S7&gt;=Rules!$B$15),"PASS","FAIL"),IF(AND(ISNUMBER(Data!R7),Data!R7&gt;=Rules!$B$8),"PASS","FAIL"))</f>
        <v>PASS</v>
      </c>
      <c r="I7" s="3" t="str">
        <f aca="false">IF(C7="FIN","n/a",IF(C7="UTIL/REIT",IF(AND(Data!U7&lt;=Rules!$B$16,Data!V7&gt;=Rules!$B$17),"PASS","FAIL"),IF(AND(Data!U7&lt;=Rules!$B$9,Data!V7&gt;=Rules!$B$10),"PASS","FAIL")))</f>
        <v>PASS</v>
      </c>
      <c r="J7" s="3" t="str">
        <f aca="false">IF(AND(ISNUMBER(Data!J7),ISNUMBER(Data!K7)),IF(AND(Data!J7&gt;=Rules!$B$11,Data!K7&gt;=Rules!$B$12),"PASS","FAIL"),"FAIL")</f>
        <v>PASS</v>
      </c>
      <c r="K7" s="3" t="str">
        <f aca="false">IF(AND(ISNUMBER(Data!W7),ISNUMBER(Data!X7)),IF(AND(Data!W7&lt;=Rules!$B$13,Data!X7&lt;=Rules!$B$14),"PASS","FAIL"),"FAIL")</f>
        <v>PASS</v>
      </c>
      <c r="L7" s="4" t="str">
        <f aca="false">IF(F7="FAIL","רווחיות; ","")&amp;IF(G7="FAIL","תזרים; ","")&amp;IF(H7="FAIL","תשואה על ההון; ","")&amp;IF(I7="FAIL","מאזן; ","")&amp;IF(J7="FAIL","צמיחה; ","")&amp;IF(K7="FAIL","דילול; ","")</f>
        <v/>
      </c>
      <c r="M7" s="4" t="s">
        <v>26</v>
      </c>
      <c r="N7" s="5" t="n">
        <f aca="false">IF(M7="EXTREME",Rules!$B$23,IF(M7="HIGH",Rules!$B$22,Rules!$B$21))</f>
        <v>0.03</v>
      </c>
      <c r="O7" s="6" t="n">
        <v>84.490414708631</v>
      </c>
      <c r="P7" s="4" t="s">
        <v>30</v>
      </c>
      <c r="Q7" s="4" t="s">
        <v>28</v>
      </c>
      <c r="R7" s="4" t="str">
        <f aca="false">IF(Q7="כן",P7,"לא רלוונטי (SMA200 יורד)")</f>
        <v>לא רלוונטי (SMA200 יורד)</v>
      </c>
      <c r="S7" s="4" t="str">
        <f aca="false">IF(NOT(ISNUMBER(T7)),"n/a",IF(AND(T7&gt;Rules!$B$18,ISNUMBER(U7),U7&lt;Rules!$B$19),"יקרה",IF(T7&lt;Rules!$B$20,"זולה","הוגנת")))</f>
        <v>זולה</v>
      </c>
      <c r="T7" s="7" t="n">
        <f aca="false">Data!AA7</f>
        <v>0.301071343579303</v>
      </c>
      <c r="U7" s="8" t="n">
        <f aca="false">Data!AC7</f>
        <v>0.0494447472817397</v>
      </c>
      <c r="V7" s="9" t="n">
        <v>0.0464</v>
      </c>
      <c r="W7" s="5" t="n">
        <v>-0.9195</v>
      </c>
    </row>
    <row r="8" customFormat="false" ht="15" hidden="false" customHeight="false" outlineLevel="0" collapsed="false">
      <c r="A8" s="2" t="str">
        <f aca="false">Data!A8</f>
        <v>ASML</v>
      </c>
      <c r="B8" s="2" t="str">
        <f aca="false">Data!B8</f>
        <v>ASML Holding N.V.</v>
      </c>
      <c r="C8" s="2" t="str">
        <f aca="false">Data!F8</f>
        <v>STD</v>
      </c>
      <c r="D8" s="3" t="str">
        <f aca="false">IF(E8=0,"CORE",IF(E8=1,"WATCH","NON-CORE"))</f>
        <v>CORE</v>
      </c>
      <c r="E8" s="4" t="n">
        <f aca="false">COUNTIF(F8:K8,"FAIL")</f>
        <v>0</v>
      </c>
      <c r="F8" s="3" t="str">
        <f aca="false">IF(C8="FIN",IF(Data!M8=Data!H8,"PASS","FAIL"),IF(AND(ISNUMBER(Data!L8),Data!L8&gt;=Rules!$B$5,IF(Data!H8&lt;5,Data!M8=Data!H8,Data!M8&gt;=Rules!$B$6)),"PASS","FAIL"))</f>
        <v>PASS</v>
      </c>
      <c r="G8" s="3" t="str">
        <f aca="false">IF(C8="FIN","n/a",IF(C8="UTIL/REIT",IF(Data!Q8=Data!H8,"PASS","FAIL"),IF(AND(ISNUMBER(Data!N8),Data!N8&gt;0,IF(Data!H8&lt;5,Data!P8=Data!H8,Data!P8&gt;=Rules!$B$7)),"PASS","FAIL")))</f>
        <v>PASS</v>
      </c>
      <c r="H8" s="3" t="str">
        <f aca="false">IF(C8="FIN",IF(AND(ISNUMBER(Data!S8),Data!S8&gt;=Rules!$B$15),"PASS","FAIL"),IF(AND(ISNUMBER(Data!R8),Data!R8&gt;=Rules!$B$8),"PASS","FAIL"))</f>
        <v>PASS</v>
      </c>
      <c r="I8" s="3" t="str">
        <f aca="false">IF(C8="FIN","n/a",IF(C8="UTIL/REIT",IF(AND(Data!U8&lt;=Rules!$B$16,Data!V8&gt;=Rules!$B$17),"PASS","FAIL"),IF(AND(Data!U8&lt;=Rules!$B$9,Data!V8&gt;=Rules!$B$10),"PASS","FAIL")))</f>
        <v>PASS</v>
      </c>
      <c r="J8" s="3" t="str">
        <f aca="false">IF(AND(ISNUMBER(Data!J8),ISNUMBER(Data!K8)),IF(AND(Data!J8&gt;=Rules!$B$11,Data!K8&gt;=Rules!$B$12),"PASS","FAIL"),"FAIL")</f>
        <v>PASS</v>
      </c>
      <c r="K8" s="3" t="str">
        <f aca="false">IF(AND(ISNUMBER(Data!W8),ISNUMBER(Data!X8)),IF(AND(Data!W8&lt;=Rules!$B$13,Data!X8&lt;=Rules!$B$14),"PASS","FAIL"),"FAIL")</f>
        <v>PASS</v>
      </c>
      <c r="L8" s="4" t="str">
        <f aca="false">IF(F8="FAIL","רווחיות; ","")&amp;IF(G8="FAIL","תזרים; ","")&amp;IF(H8="FAIL","תשואה על ההון; ","")&amp;IF(I8="FAIL","מאזן; ","")&amp;IF(J8="FAIL","צמיחה; ","")&amp;IF(K8="FAIL","דילול; ","")</f>
        <v/>
      </c>
      <c r="M8" s="4" t="s">
        <v>23</v>
      </c>
      <c r="N8" s="5" t="n">
        <f aca="false">IF(M8="EXTREME",Rules!$B$23,IF(M8="HIGH",Rules!$B$22,Rules!$B$21))</f>
        <v>0.06</v>
      </c>
      <c r="O8" s="6" t="n">
        <v>40.7306640228841</v>
      </c>
      <c r="P8" s="4" t="s">
        <v>24</v>
      </c>
      <c r="Q8" s="4" t="s">
        <v>25</v>
      </c>
      <c r="R8" s="4" t="str">
        <f aca="false">IF(Q8="כן",P8,"לא רלוונטי (SMA200 יורד)")</f>
        <v>Q2</v>
      </c>
      <c r="S8" s="4" t="str">
        <f aca="false">IF(NOT(ISNUMBER(T8)),"n/a",IF(AND(T8&gt;Rules!$B$18,ISNUMBER(U8),U8&lt;Rules!$B$19),"יקרה",IF(T8&lt;Rules!$B$20,"זולה","הוגנת")))</f>
        <v>יקרה</v>
      </c>
      <c r="T8" s="7" t="n">
        <f aca="false">Data!AA8</f>
        <v>1.53592063150288</v>
      </c>
      <c r="U8" s="8" t="n">
        <f aca="false">Data!AC8</f>
        <v>0.0169879464000469</v>
      </c>
      <c r="V8" s="9" t="n">
        <v>0.0281</v>
      </c>
      <c r="W8" s="5" t="n">
        <v>-0.5684</v>
      </c>
    </row>
    <row r="9" customFormat="false" ht="15" hidden="false" customHeight="false" outlineLevel="0" collapsed="false">
      <c r="A9" s="2" t="str">
        <f aca="false">Data!A9</f>
        <v>AXP</v>
      </c>
      <c r="B9" s="2" t="str">
        <f aca="false">Data!B9</f>
        <v>American Express Co.</v>
      </c>
      <c r="C9" s="2" t="str">
        <f aca="false">Data!F9</f>
        <v>FIN</v>
      </c>
      <c r="D9" s="3" t="str">
        <f aca="false">IF(E9=0,"CORE",IF(E9=1,"WATCH","NON-CORE"))</f>
        <v>CORE</v>
      </c>
      <c r="E9" s="4" t="n">
        <f aca="false">COUNTIF(F9:K9,"FAIL")</f>
        <v>0</v>
      </c>
      <c r="F9" s="3" t="str">
        <f aca="false">IF(C9="FIN",IF(Data!M9=Data!H9,"PASS","FAIL"),IF(AND(ISNUMBER(Data!L9),Data!L9&gt;=Rules!$B$5,IF(Data!H9&lt;5,Data!M9=Data!H9,Data!M9&gt;=Rules!$B$6)),"PASS","FAIL"))</f>
        <v>PASS</v>
      </c>
      <c r="G9" s="3" t="str">
        <f aca="false">IF(C9="FIN","n/a",IF(C9="UTIL/REIT",IF(Data!Q9=Data!H9,"PASS","FAIL"),IF(AND(ISNUMBER(Data!N9),Data!N9&gt;0,IF(Data!H9&lt;5,Data!P9=Data!H9,Data!P9&gt;=Rules!$B$7)),"PASS","FAIL")))</f>
        <v>n/a</v>
      </c>
      <c r="H9" s="3" t="str">
        <f aca="false">IF(C9="FIN",IF(AND(ISNUMBER(Data!S9),Data!S9&gt;=Rules!$B$15),"PASS","FAIL"),IF(AND(ISNUMBER(Data!R9),Data!R9&gt;=Rules!$B$8),"PASS","FAIL"))</f>
        <v>PASS</v>
      </c>
      <c r="I9" s="3" t="str">
        <f aca="false">IF(C9="FIN","n/a",IF(C9="UTIL/REIT",IF(AND(Data!U9&lt;=Rules!$B$16,Data!V9&gt;=Rules!$B$17),"PASS","FAIL"),IF(AND(Data!U9&lt;=Rules!$B$9,Data!V9&gt;=Rules!$B$10),"PASS","FAIL")))</f>
        <v>n/a</v>
      </c>
      <c r="J9" s="3" t="str">
        <f aca="false">IF(AND(ISNUMBER(Data!J9),ISNUMBER(Data!K9)),IF(AND(Data!J9&gt;=Rules!$B$11,Data!K9&gt;=Rules!$B$12),"PASS","FAIL"),"FAIL")</f>
        <v>PASS</v>
      </c>
      <c r="K9" s="3" t="str">
        <f aca="false">IF(AND(ISNUMBER(Data!W9),ISNUMBER(Data!X9)),IF(AND(Data!W9&lt;=Rules!$B$13,Data!X9&lt;=Rules!$B$14),"PASS","FAIL"),"FAIL")</f>
        <v>PASS</v>
      </c>
      <c r="L9" s="4" t="str">
        <f aca="false">IF(F9="FAIL","רווחיות; ","")&amp;IF(G9="FAIL","תזרים; ","")&amp;IF(H9="FAIL","תשואה על ההון; ","")&amp;IF(I9="FAIL","מאזן; ","")&amp;IF(J9="FAIL","צמיחה; ","")&amp;IF(K9="FAIL","דילול; ","")</f>
        <v/>
      </c>
      <c r="M9" s="4" t="s">
        <v>29</v>
      </c>
      <c r="N9" s="5" t="n">
        <f aca="false">IF(M9="EXTREME",Rules!$B$23,IF(M9="HIGH",Rules!$B$22,Rules!$B$21))</f>
        <v>0.1</v>
      </c>
      <c r="O9" s="6" t="n">
        <v>91.5161386425822</v>
      </c>
      <c r="P9" s="4" t="s">
        <v>30</v>
      </c>
      <c r="Q9" s="4" t="s">
        <v>28</v>
      </c>
      <c r="R9" s="4" t="str">
        <f aca="false">IF(Q9="כן",P9,"לא רלוונטי (SMA200 יורד)")</f>
        <v>לא רלוונטי (SMA200 יורד)</v>
      </c>
      <c r="S9" s="4" t="str">
        <f aca="false">IF(NOT(ISNUMBER(T9)),"n/a",IF(AND(T9&gt;Rules!$B$18,ISNUMBER(U9),U9&lt;Rules!$B$19),"יקרה",IF(T9&lt;Rules!$B$20,"זולה","הוגנת")))</f>
        <v>הוגנת</v>
      </c>
      <c r="T9" s="7" t="n">
        <f aca="false">Data!AA9</f>
        <v>1.13247457316801</v>
      </c>
      <c r="U9" s="8" t="n">
        <f aca="false">Data!AC9</f>
        <v>0.0721818155353144</v>
      </c>
      <c r="V9" s="9" t="n">
        <v>0.018</v>
      </c>
      <c r="W9" s="5" t="n">
        <v>-0.3198</v>
      </c>
    </row>
    <row r="10" customFormat="false" ht="15" hidden="false" customHeight="false" outlineLevel="0" collapsed="false">
      <c r="A10" s="2" t="str">
        <f aca="false">Data!A10</f>
        <v>BAC</v>
      </c>
      <c r="B10" s="2" t="str">
        <f aca="false">Data!B10</f>
        <v>Bank of America Corp.</v>
      </c>
      <c r="C10" s="2" t="str">
        <f aca="false">Data!F10</f>
        <v>FIN</v>
      </c>
      <c r="D10" s="3" t="str">
        <f aca="false">IF(E10=0,"CORE",IF(E10=1,"WATCH","NON-CORE"))</f>
        <v>CORE</v>
      </c>
      <c r="E10" s="4" t="n">
        <f aca="false">COUNTIF(F10:K10,"FAIL")</f>
        <v>0</v>
      </c>
      <c r="F10" s="3" t="str">
        <f aca="false">IF(C10="FIN",IF(Data!M10=Data!H10,"PASS","FAIL"),IF(AND(ISNUMBER(Data!L10),Data!L10&gt;=Rules!$B$5,IF(Data!H10&lt;5,Data!M10=Data!H10,Data!M10&gt;=Rules!$B$6)),"PASS","FAIL"))</f>
        <v>PASS</v>
      </c>
      <c r="G10" s="3" t="str">
        <f aca="false">IF(C10="FIN","n/a",IF(C10="UTIL/REIT",IF(Data!Q10=Data!H10,"PASS","FAIL"),IF(AND(ISNUMBER(Data!N10),Data!N10&gt;0,IF(Data!H10&lt;5,Data!P10=Data!H10,Data!P10&gt;=Rules!$B$7)),"PASS","FAIL")))</f>
        <v>n/a</v>
      </c>
      <c r="H10" s="3" t="str">
        <f aca="false">IF(C10="FIN",IF(AND(ISNUMBER(Data!S10),Data!S10&gt;=Rules!$B$15),"PASS","FAIL"),IF(AND(ISNUMBER(Data!R10),Data!R10&gt;=Rules!$B$8),"PASS","FAIL"))</f>
        <v>PASS</v>
      </c>
      <c r="I10" s="3" t="str">
        <f aca="false">IF(C10="FIN","n/a",IF(C10="UTIL/REIT",IF(AND(Data!U10&lt;=Rules!$B$16,Data!V10&gt;=Rules!$B$17),"PASS","FAIL"),IF(AND(Data!U10&lt;=Rules!$B$9,Data!V10&gt;=Rules!$B$10),"PASS","FAIL")))</f>
        <v>n/a</v>
      </c>
      <c r="J10" s="3" t="str">
        <f aca="false">IF(AND(ISNUMBER(Data!J10),ISNUMBER(Data!K10)),IF(AND(Data!J10&gt;=Rules!$B$11,Data!K10&gt;=Rules!$B$12),"PASS","FAIL"),"FAIL")</f>
        <v>PASS</v>
      </c>
      <c r="K10" s="3" t="str">
        <f aca="false">IF(AND(ISNUMBER(Data!W10),ISNUMBER(Data!X10)),IF(AND(Data!W10&lt;=Rules!$B$13,Data!X10&lt;=Rules!$B$14),"PASS","FAIL"),"FAIL")</f>
        <v>PASS</v>
      </c>
      <c r="L10" s="4" t="str">
        <f aca="false">IF(F10="FAIL","רווחיות; ","")&amp;IF(G10="FAIL","תזרים; ","")&amp;IF(H10="FAIL","תשואה על ההון; ","")&amp;IF(I10="FAIL","מאזן; ","")&amp;IF(J10="FAIL","צמיחה; ","")&amp;IF(K10="FAIL","דילול; ","")</f>
        <v/>
      </c>
      <c r="M10" s="4" t="s">
        <v>29</v>
      </c>
      <c r="N10" s="5" t="n">
        <f aca="false">IF(M10="EXTREME",Rules!$B$23,IF(M10="HIGH",Rules!$B$22,Rules!$B$21))</f>
        <v>0.1</v>
      </c>
      <c r="O10" s="6" t="n">
        <v>74.5307495195388</v>
      </c>
      <c r="P10" s="4" t="s">
        <v>27</v>
      </c>
      <c r="Q10" s="4" t="s">
        <v>25</v>
      </c>
      <c r="R10" s="4" t="str">
        <f aca="false">IF(Q10="כן",P10,"לא רלוונטי (SMA200 יורד)")</f>
        <v>Q3</v>
      </c>
      <c r="S10" s="4" t="str">
        <f aca="false">IF(NOT(ISNUMBER(T10)),"n/a",IF(AND(T10&gt;Rules!$B$18,ISNUMBER(U10),U10&lt;Rules!$B$19),"יקרה",IF(T10&lt;Rules!$B$20,"זולה","הוגנת")))</f>
        <v>הוגנת</v>
      </c>
      <c r="T10" s="7" t="n">
        <f aca="false">Data!AA10</f>
        <v>0.99770184540438</v>
      </c>
      <c r="U10" s="8" t="n">
        <f aca="false">Data!AC10</f>
        <v>0.245523781026578</v>
      </c>
      <c r="V10" s="9" t="n">
        <v>0.0185</v>
      </c>
      <c r="W10" s="5" t="n">
        <v>-0.4903</v>
      </c>
    </row>
    <row r="11" customFormat="false" ht="15" hidden="false" customHeight="false" outlineLevel="0" collapsed="false">
      <c r="A11" s="2" t="str">
        <f aca="false">Data!A11</f>
        <v>BKNG</v>
      </c>
      <c r="B11" s="2" t="str">
        <f aca="false">Data!B11</f>
        <v>Booking Holdings Inc.</v>
      </c>
      <c r="C11" s="2" t="str">
        <f aca="false">Data!F11</f>
        <v>STD</v>
      </c>
      <c r="D11" s="3" t="str">
        <f aca="false">IF(E11=0,"CORE",IF(E11=1,"WATCH","NON-CORE"))</f>
        <v>CORE</v>
      </c>
      <c r="E11" s="4" t="n">
        <f aca="false">COUNTIF(F11:K11,"FAIL")</f>
        <v>0</v>
      </c>
      <c r="F11" s="3" t="str">
        <f aca="false">IF(C11="FIN",IF(Data!M11=Data!H11,"PASS","FAIL"),IF(AND(ISNUMBER(Data!L11),Data!L11&gt;=Rules!$B$5,IF(Data!H11&lt;5,Data!M11=Data!H11,Data!M11&gt;=Rules!$B$6)),"PASS","FAIL"))</f>
        <v>PASS</v>
      </c>
      <c r="G11" s="3" t="str">
        <f aca="false">IF(C11="FIN","n/a",IF(C11="UTIL/REIT",IF(Data!Q11=Data!H11,"PASS","FAIL"),IF(AND(ISNUMBER(Data!N11),Data!N11&gt;0,IF(Data!H11&lt;5,Data!P11=Data!H11,Data!P11&gt;=Rules!$B$7)),"PASS","FAIL")))</f>
        <v>PASS</v>
      </c>
      <c r="H11" s="3" t="str">
        <f aca="false">IF(C11="FIN",IF(AND(ISNUMBER(Data!S11),Data!S11&gt;=Rules!$B$15),"PASS","FAIL"),IF(AND(ISNUMBER(Data!R11),Data!R11&gt;=Rules!$B$8),"PASS","FAIL"))</f>
        <v>PASS</v>
      </c>
      <c r="I11" s="3" t="str">
        <f aca="false">IF(C11="FIN","n/a",IF(C11="UTIL/REIT",IF(AND(Data!U11&lt;=Rules!$B$16,Data!V11&gt;=Rules!$B$17),"PASS","FAIL"),IF(AND(Data!U11&lt;=Rules!$B$9,Data!V11&gt;=Rules!$B$10),"PASS","FAIL")))</f>
        <v>PASS</v>
      </c>
      <c r="J11" s="3" t="str">
        <f aca="false">IF(AND(ISNUMBER(Data!J11),ISNUMBER(Data!K11)),IF(AND(Data!J11&gt;=Rules!$B$11,Data!K11&gt;=Rules!$B$12),"PASS","FAIL"),"FAIL")</f>
        <v>PASS</v>
      </c>
      <c r="K11" s="3" t="str">
        <f aca="false">IF(AND(ISNUMBER(Data!W11),ISNUMBER(Data!X11)),IF(AND(Data!W11&lt;=Rules!$B$13,Data!X11&lt;=Rules!$B$14),"PASS","FAIL"),"FAIL")</f>
        <v>PASS</v>
      </c>
      <c r="L11" s="4" t="str">
        <f aca="false">IF(F11="FAIL","רווחיות; ","")&amp;IF(G11="FAIL","תזרים; ","")&amp;IF(H11="FAIL","תשואה על ההון; ","")&amp;IF(I11="FAIL","מאזן; ","")&amp;IF(J11="FAIL","צמיחה; ","")&amp;IF(K11="FAIL","דילול; ","")</f>
        <v/>
      </c>
      <c r="M11" s="4" t="s">
        <v>23</v>
      </c>
      <c r="N11" s="5" t="n">
        <f aca="false">IF(M11="EXTREME",Rules!$B$23,IF(M11="HIGH",Rules!$B$22,Rules!$B$21))</f>
        <v>0.06</v>
      </c>
      <c r="O11" s="6" t="n">
        <v>87.224824511352</v>
      </c>
      <c r="P11" s="4" t="s">
        <v>30</v>
      </c>
      <c r="Q11" s="4" t="s">
        <v>28</v>
      </c>
      <c r="R11" s="4" t="str">
        <f aca="false">IF(Q11="כן",P11,"לא רלוונטי (SMA200 יורד)")</f>
        <v>לא רלוונטי (SMA200 יורד)</v>
      </c>
      <c r="S11" s="4" t="str">
        <f aca="false">IF(NOT(ISNUMBER(T11)),"n/a",IF(AND(T11&gt;Rules!$B$18,ISNUMBER(U11),U11&lt;Rules!$B$19),"יקרה",IF(T11&lt;Rules!$B$20,"זולה","הוגנת")))</f>
        <v>זולה</v>
      </c>
      <c r="T11" s="7" t="n">
        <f aca="false">Data!AA11</f>
        <v>0.584719402479583</v>
      </c>
      <c r="U11" s="8" t="n">
        <f aca="false">Data!AC11</f>
        <v>0.077952919978104</v>
      </c>
      <c r="V11" s="9" t="n">
        <v>0.0328</v>
      </c>
      <c r="W11" s="5" t="n">
        <v>-0.3952</v>
      </c>
    </row>
    <row r="12" customFormat="false" ht="15" hidden="false" customHeight="false" outlineLevel="0" collapsed="false">
      <c r="A12" s="2" t="str">
        <f aca="false">Data!A12</f>
        <v>BSX</v>
      </c>
      <c r="B12" s="2" t="str">
        <f aca="false">Data!B12</f>
        <v>Boston Scientific Corp.</v>
      </c>
      <c r="C12" s="2" t="str">
        <f aca="false">Data!F12</f>
        <v>STD</v>
      </c>
      <c r="D12" s="3" t="str">
        <f aca="false">IF(E12=0,"CORE",IF(E12=1,"WATCH","NON-CORE"))</f>
        <v>CORE</v>
      </c>
      <c r="E12" s="4" t="n">
        <f aca="false">COUNTIF(F12:K12,"FAIL")</f>
        <v>0</v>
      </c>
      <c r="F12" s="3" t="str">
        <f aca="false">IF(C12="FIN",IF(Data!M12=Data!H12,"PASS","FAIL"),IF(AND(ISNUMBER(Data!L12),Data!L12&gt;=Rules!$B$5,IF(Data!H12&lt;5,Data!M12=Data!H12,Data!M12&gt;=Rules!$B$6)),"PASS","FAIL"))</f>
        <v>PASS</v>
      </c>
      <c r="G12" s="3" t="str">
        <f aca="false">IF(C12="FIN","n/a",IF(C12="UTIL/REIT",IF(Data!Q12=Data!H12,"PASS","FAIL"),IF(AND(ISNUMBER(Data!N12),Data!N12&gt;0,IF(Data!H12&lt;5,Data!P12=Data!H12,Data!P12&gt;=Rules!$B$7)),"PASS","FAIL")))</f>
        <v>PASS</v>
      </c>
      <c r="H12" s="3" t="str">
        <f aca="false">IF(C12="FIN",IF(AND(ISNUMBER(Data!S12),Data!S12&gt;=Rules!$B$15),"PASS","FAIL"),IF(AND(ISNUMBER(Data!R12),Data!R12&gt;=Rules!$B$8),"PASS","FAIL"))</f>
        <v>PASS</v>
      </c>
      <c r="I12" s="3" t="str">
        <f aca="false">IF(C12="FIN","n/a",IF(C12="UTIL/REIT",IF(AND(Data!U12&lt;=Rules!$B$16,Data!V12&gt;=Rules!$B$17),"PASS","FAIL"),IF(AND(Data!U12&lt;=Rules!$B$9,Data!V12&gt;=Rules!$B$10),"PASS","FAIL")))</f>
        <v>PASS</v>
      </c>
      <c r="J12" s="3" t="str">
        <f aca="false">IF(AND(ISNUMBER(Data!J12),ISNUMBER(Data!K12)),IF(AND(Data!J12&gt;=Rules!$B$11,Data!K12&gt;=Rules!$B$12),"PASS","FAIL"),"FAIL")</f>
        <v>PASS</v>
      </c>
      <c r="K12" s="3" t="str">
        <f aca="false">IF(AND(ISNUMBER(Data!W12),ISNUMBER(Data!X12)),IF(AND(Data!W12&lt;=Rules!$B$13,Data!X12&lt;=Rules!$B$14),"PASS","FAIL"),"FAIL")</f>
        <v>PASS</v>
      </c>
      <c r="L12" s="4" t="str">
        <f aca="false">IF(F12="FAIL","רווחיות; ","")&amp;IF(G12="FAIL","תזרים; ","")&amp;IF(H12="FAIL","תשואה על ההון; ","")&amp;IF(I12="FAIL","מאזן; ","")&amp;IF(J12="FAIL","צמיחה; ","")&amp;IF(K12="FAIL","דילול; ","")</f>
        <v/>
      </c>
      <c r="M12" s="4" t="s">
        <v>23</v>
      </c>
      <c r="N12" s="5" t="n">
        <f aca="false">IF(M12="EXTREME",Rules!$B$23,IF(M12="HIGH",Rules!$B$22,Rules!$B$21))</f>
        <v>0.06</v>
      </c>
      <c r="O12" s="6" t="n">
        <v>93.8176624134878</v>
      </c>
      <c r="P12" s="4" t="s">
        <v>30</v>
      </c>
      <c r="Q12" s="4" t="s">
        <v>28</v>
      </c>
      <c r="R12" s="4" t="str">
        <f aca="false">IF(Q12="כן",P12,"לא רלוונטי (SMA200 יורד)")</f>
        <v>לא רלוונטי (SMA200 יורד)</v>
      </c>
      <c r="S12" s="4" t="str">
        <f aca="false">IF(NOT(ISNUMBER(T12)),"n/a",IF(AND(T12&gt;Rules!$B$18,ISNUMBER(U12),U12&lt;Rules!$B$19),"יקרה",IF(T12&lt;Rules!$B$20,"זולה","הוגנת")))</f>
        <v>זולה</v>
      </c>
      <c r="T12" s="7" t="n">
        <f aca="false">Data!AA12</f>
        <v>0.282684854542555</v>
      </c>
      <c r="U12" s="8" t="n">
        <f aca="false">Data!AC12</f>
        <v>0.0567107040225825</v>
      </c>
      <c r="V12" s="9" t="n">
        <v>0.0312</v>
      </c>
      <c r="W12" s="5" t="n">
        <v>-0.6058</v>
      </c>
    </row>
    <row r="13" customFormat="false" ht="15" hidden="false" customHeight="false" outlineLevel="0" collapsed="false">
      <c r="A13" s="2" t="str">
        <f aca="false">Data!A13</f>
        <v>CAT</v>
      </c>
      <c r="B13" s="2" t="str">
        <f aca="false">Data!B13</f>
        <v>Caterpillar Inc.</v>
      </c>
      <c r="C13" s="2" t="str">
        <f aca="false">Data!F13</f>
        <v>STD</v>
      </c>
      <c r="D13" s="3" t="str">
        <f aca="false">IF(E13=0,"CORE",IF(E13=1,"WATCH","NON-CORE"))</f>
        <v>CORE</v>
      </c>
      <c r="E13" s="4" t="n">
        <f aca="false">COUNTIF(F13:K13,"FAIL")</f>
        <v>0</v>
      </c>
      <c r="F13" s="3" t="str">
        <f aca="false">IF(C13="FIN",IF(Data!M13=Data!H13,"PASS","FAIL"),IF(AND(ISNUMBER(Data!L13),Data!L13&gt;=Rules!$B$5,IF(Data!H13&lt;5,Data!M13=Data!H13,Data!M13&gt;=Rules!$B$6)),"PASS","FAIL"))</f>
        <v>PASS</v>
      </c>
      <c r="G13" s="3" t="str">
        <f aca="false">IF(C13="FIN","n/a",IF(C13="UTIL/REIT",IF(Data!Q13=Data!H13,"PASS","FAIL"),IF(AND(ISNUMBER(Data!N13),Data!N13&gt;0,IF(Data!H13&lt;5,Data!P13=Data!H13,Data!P13&gt;=Rules!$B$7)),"PASS","FAIL")))</f>
        <v>PASS</v>
      </c>
      <c r="H13" s="3" t="str">
        <f aca="false">IF(C13="FIN",IF(AND(ISNUMBER(Data!S13),Data!S13&gt;=Rules!$B$15),"PASS","FAIL"),IF(AND(ISNUMBER(Data!R13),Data!R13&gt;=Rules!$B$8),"PASS","FAIL"))</f>
        <v>PASS</v>
      </c>
      <c r="I13" s="3" t="str">
        <f aca="false">IF(C13="FIN","n/a",IF(C13="UTIL/REIT",IF(AND(Data!U13&lt;=Rules!$B$16,Data!V13&gt;=Rules!$B$17),"PASS","FAIL"),IF(AND(Data!U13&lt;=Rules!$B$9,Data!V13&gt;=Rules!$B$10),"PASS","FAIL")))</f>
        <v>PASS</v>
      </c>
      <c r="J13" s="3" t="str">
        <f aca="false">IF(AND(ISNUMBER(Data!J13),ISNUMBER(Data!K13)),IF(AND(Data!J13&gt;=Rules!$B$11,Data!K13&gt;=Rules!$B$12),"PASS","FAIL"),"FAIL")</f>
        <v>PASS</v>
      </c>
      <c r="K13" s="3" t="str">
        <f aca="false">IF(AND(ISNUMBER(Data!W13),ISNUMBER(Data!X13)),IF(AND(Data!W13&lt;=Rules!$B$13,Data!X13&lt;=Rules!$B$14),"PASS","FAIL"),"FAIL")</f>
        <v>PASS</v>
      </c>
      <c r="L13" s="4" t="str">
        <f aca="false">IF(F13="FAIL","רווחיות; ","")&amp;IF(G13="FAIL","תזרים; ","")&amp;IF(H13="FAIL","תשואה על ההון; ","")&amp;IF(I13="FAIL","מאזן; ","")&amp;IF(J13="FAIL","צמיחה; ","")&amp;IF(K13="FAIL","דילול; ","")</f>
        <v/>
      </c>
      <c r="M13" s="4" t="s">
        <v>23</v>
      </c>
      <c r="N13" s="5" t="n">
        <f aca="false">IF(M13="EXTREME",Rules!$B$23,IF(M13="HIGH",Rules!$B$22,Rules!$B$21))</f>
        <v>0.06</v>
      </c>
      <c r="O13" s="6" t="n">
        <v>88.3026668564785</v>
      </c>
      <c r="P13" s="4" t="s">
        <v>30</v>
      </c>
      <c r="Q13" s="4" t="s">
        <v>25</v>
      </c>
      <c r="R13" s="4" t="str">
        <f aca="false">IF(Q13="כן",P13,"לא רלוונטי (SMA200 יורד)")</f>
        <v>Q4</v>
      </c>
      <c r="S13" s="4" t="str">
        <f aca="false">IF(NOT(ISNUMBER(T13)),"n/a",IF(AND(T13&gt;Rules!$B$18,ISNUMBER(U13),U13&lt;Rules!$B$19),"יקרה",IF(T13&lt;Rules!$B$20,"זולה","הוגנת")))</f>
        <v>הוגנת</v>
      </c>
      <c r="T13" s="7" t="n">
        <f aca="false">Data!AA13</f>
        <v>1.9175278545742</v>
      </c>
      <c r="U13" s="8" t="n">
        <f aca="false">Data!AC13</f>
        <v>0.0248727845152785</v>
      </c>
      <c r="V13" s="9" t="n">
        <v>0.0302</v>
      </c>
      <c r="W13" s="5" t="n">
        <v>-0.3428</v>
      </c>
    </row>
    <row r="14" customFormat="false" ht="15" hidden="false" customHeight="false" outlineLevel="0" collapsed="false">
      <c r="A14" s="2" t="str">
        <f aca="false">Data!A14</f>
        <v>CB</v>
      </c>
      <c r="B14" s="2" t="str">
        <f aca="false">Data!B14</f>
        <v>Chubb Ltd.</v>
      </c>
      <c r="C14" s="2" t="str">
        <f aca="false">Data!F14</f>
        <v>FIN</v>
      </c>
      <c r="D14" s="3" t="str">
        <f aca="false">IF(E14=0,"CORE",IF(E14=1,"WATCH","NON-CORE"))</f>
        <v>CORE</v>
      </c>
      <c r="E14" s="4" t="n">
        <f aca="false">COUNTIF(F14:K14,"FAIL")</f>
        <v>0</v>
      </c>
      <c r="F14" s="3" t="str">
        <f aca="false">IF(C14="FIN",IF(Data!M14=Data!H14,"PASS","FAIL"),IF(AND(ISNUMBER(Data!L14),Data!L14&gt;=Rules!$B$5,IF(Data!H14&lt;5,Data!M14=Data!H14,Data!M14&gt;=Rules!$B$6)),"PASS","FAIL"))</f>
        <v>PASS</v>
      </c>
      <c r="G14" s="3" t="str">
        <f aca="false">IF(C14="FIN","n/a",IF(C14="UTIL/REIT",IF(Data!Q14=Data!H14,"PASS","FAIL"),IF(AND(ISNUMBER(Data!N14),Data!N14&gt;0,IF(Data!H14&lt;5,Data!P14=Data!H14,Data!P14&gt;=Rules!$B$7)),"PASS","FAIL")))</f>
        <v>n/a</v>
      </c>
      <c r="H14" s="3" t="str">
        <f aca="false">IF(C14="FIN",IF(AND(ISNUMBER(Data!S14),Data!S14&gt;=Rules!$B$15),"PASS","FAIL"),IF(AND(ISNUMBER(Data!R14),Data!R14&gt;=Rules!$B$8),"PASS","FAIL"))</f>
        <v>PASS</v>
      </c>
      <c r="I14" s="3" t="str">
        <f aca="false">IF(C14="FIN","n/a",IF(C14="UTIL/REIT",IF(AND(Data!U14&lt;=Rules!$B$16,Data!V14&gt;=Rules!$B$17),"PASS","FAIL"),IF(AND(Data!U14&lt;=Rules!$B$9,Data!V14&gt;=Rules!$B$10),"PASS","FAIL")))</f>
        <v>n/a</v>
      </c>
      <c r="J14" s="3" t="str">
        <f aca="false">IF(AND(ISNUMBER(Data!J14),ISNUMBER(Data!K14)),IF(AND(Data!J14&gt;=Rules!$B$11,Data!K14&gt;=Rules!$B$12),"PASS","FAIL"),"FAIL")</f>
        <v>PASS</v>
      </c>
      <c r="K14" s="3" t="str">
        <f aca="false">IF(AND(ISNUMBER(Data!W14),ISNUMBER(Data!X14)),IF(AND(Data!W14&lt;=Rules!$B$13,Data!X14&lt;=Rules!$B$14),"PASS","FAIL"),"FAIL")</f>
        <v>PASS</v>
      </c>
      <c r="L14" s="4" t="str">
        <f aca="false">IF(F14="FAIL","רווחיות; ","")&amp;IF(G14="FAIL","תזרים; ","")&amp;IF(H14="FAIL","תשואה על ההון; ","")&amp;IF(I14="FAIL","מאזן; ","")&amp;IF(J14="FAIL","צמיחה; ","")&amp;IF(K14="FAIL","דילול; ","")</f>
        <v/>
      </c>
      <c r="M14" s="4" t="s">
        <v>29</v>
      </c>
      <c r="N14" s="5" t="n">
        <f aca="false">IF(M14="EXTREME",Rules!$B$23,IF(M14="HIGH",Rules!$B$22,Rules!$B$21))</f>
        <v>0.1</v>
      </c>
      <c r="O14" s="6" t="n">
        <v>80.5675349318613</v>
      </c>
      <c r="P14" s="4" t="s">
        <v>30</v>
      </c>
      <c r="Q14" s="4" t="s">
        <v>25</v>
      </c>
      <c r="R14" s="4" t="str">
        <f aca="false">IF(Q14="כן",P14,"לא רלוונטי (SMA200 יורד)")</f>
        <v>Q4</v>
      </c>
      <c r="S14" s="4" t="str">
        <f aca="false">IF(NOT(ISNUMBER(T14)),"n/a",IF(AND(T14&gt;Rules!$B$18,ISNUMBER(U14),U14&lt;Rules!$B$19),"יקרה",IF(T14&lt;Rules!$B$20,"זולה","הוגנת")))</f>
        <v>הוגנת</v>
      </c>
      <c r="T14" s="7" t="n">
        <f aca="false">Data!AA14</f>
        <v>1.01077805322771</v>
      </c>
      <c r="U14" s="8" t="n">
        <f aca="false">Data!AC14</f>
        <v>0.120272023492971</v>
      </c>
      <c r="V14" s="9" t="n">
        <v>0.0162</v>
      </c>
      <c r="W14" s="5" t="n">
        <v>-0.1994</v>
      </c>
    </row>
    <row r="15" customFormat="false" ht="15" hidden="false" customHeight="false" outlineLevel="0" collapsed="false">
      <c r="A15" s="2" t="str">
        <f aca="false">Data!A15</f>
        <v>CME</v>
      </c>
      <c r="B15" s="2" t="str">
        <f aca="false">Data!B15</f>
        <v>CME Group Inc.</v>
      </c>
      <c r="C15" s="2" t="str">
        <f aca="false">Data!F15</f>
        <v>STD</v>
      </c>
      <c r="D15" s="3" t="str">
        <f aca="false">IF(E15=0,"CORE",IF(E15=1,"WATCH","NON-CORE"))</f>
        <v>CORE</v>
      </c>
      <c r="E15" s="4" t="n">
        <f aca="false">COUNTIF(F15:K15,"FAIL")</f>
        <v>0</v>
      </c>
      <c r="F15" s="3" t="str">
        <f aca="false">IF(C15="FIN",IF(Data!M15=Data!H15,"PASS","FAIL"),IF(AND(ISNUMBER(Data!L15),Data!L15&gt;=Rules!$B$5,IF(Data!H15&lt;5,Data!M15=Data!H15,Data!M15&gt;=Rules!$B$6)),"PASS","FAIL"))</f>
        <v>PASS</v>
      </c>
      <c r="G15" s="3" t="str">
        <f aca="false">IF(C15="FIN","n/a",IF(C15="UTIL/REIT",IF(Data!Q15=Data!H15,"PASS","FAIL"),IF(AND(ISNUMBER(Data!N15),Data!N15&gt;0,IF(Data!H15&lt;5,Data!P15=Data!H15,Data!P15&gt;=Rules!$B$7)),"PASS","FAIL")))</f>
        <v>PASS</v>
      </c>
      <c r="H15" s="3" t="str">
        <f aca="false">IF(C15="FIN",IF(AND(ISNUMBER(Data!S15),Data!S15&gt;=Rules!$B$15),"PASS","FAIL"),IF(AND(ISNUMBER(Data!R15),Data!R15&gt;=Rules!$B$8),"PASS","FAIL"))</f>
        <v>PASS</v>
      </c>
      <c r="I15" s="3" t="str">
        <f aca="false">IF(C15="FIN","n/a",IF(C15="UTIL/REIT",IF(AND(Data!U15&lt;=Rules!$B$16,Data!V15&gt;=Rules!$B$17),"PASS","FAIL"),IF(AND(Data!U15&lt;=Rules!$B$9,Data!V15&gt;=Rules!$B$10),"PASS","FAIL")))</f>
        <v>PASS</v>
      </c>
      <c r="J15" s="3" t="str">
        <f aca="false">IF(AND(ISNUMBER(Data!J15),ISNUMBER(Data!K15)),IF(AND(Data!J15&gt;=Rules!$B$11,Data!K15&gt;=Rules!$B$12),"PASS","FAIL"),"FAIL")</f>
        <v>PASS</v>
      </c>
      <c r="K15" s="3" t="str">
        <f aca="false">IF(AND(ISNUMBER(Data!W15),ISNUMBER(Data!X15)),IF(AND(Data!W15&lt;=Rules!$B$13,Data!X15&lt;=Rules!$B$14),"PASS","FAIL"),"FAIL")</f>
        <v>PASS</v>
      </c>
      <c r="L15" s="4" t="str">
        <f aca="false">IF(F15="FAIL","רווחיות; ","")&amp;IF(G15="FAIL","תזרים; ","")&amp;IF(H15="FAIL","תשואה על ההון; ","")&amp;IF(I15="FAIL","מאזן; ","")&amp;IF(J15="FAIL","צמיחה; ","")&amp;IF(K15="FAIL","דילול; ","")</f>
        <v/>
      </c>
      <c r="M15" s="4" t="s">
        <v>29</v>
      </c>
      <c r="N15" s="5" t="n">
        <f aca="false">IF(M15="EXTREME",Rules!$B$23,IF(M15="HIGH",Rules!$B$22,Rules!$B$21))</f>
        <v>0.1</v>
      </c>
      <c r="O15" s="6" t="n">
        <v>82.0183137545566</v>
      </c>
      <c r="P15" s="4" t="s">
        <v>30</v>
      </c>
      <c r="Q15" s="4" t="s">
        <v>28</v>
      </c>
      <c r="R15" s="4" t="str">
        <f aca="false">IF(Q15="כן",P15,"לא רלוונטי (SMA200 יורד)")</f>
        <v>לא רלוונטי (SMA200 יורד)</v>
      </c>
      <c r="S15" s="4" t="str">
        <f aca="false">IF(NOT(ISNUMBER(T15)),"n/a",IF(AND(T15&gt;Rules!$B$18,ISNUMBER(U15),U15&lt;Rules!$B$19),"יקרה",IF(T15&lt;Rules!$B$20,"זולה","הוגנת")))</f>
        <v>הוגנת</v>
      </c>
      <c r="T15" s="7" t="n">
        <f aca="false">Data!AA15</f>
        <v>0.976209421366967</v>
      </c>
      <c r="U15" s="8" t="n">
        <f aca="false">Data!AC15</f>
        <v>0.0420593651067612</v>
      </c>
      <c r="V15" s="9" t="n">
        <v>0.0215</v>
      </c>
      <c r="W15" s="5" t="n">
        <v>-0.3313</v>
      </c>
    </row>
    <row r="16" customFormat="false" ht="15" hidden="false" customHeight="false" outlineLevel="0" collapsed="false">
      <c r="A16" s="2" t="str">
        <f aca="false">Data!A16</f>
        <v>CRM</v>
      </c>
      <c r="B16" s="2" t="str">
        <f aca="false">Data!B16</f>
        <v>Salesforce, Inc.</v>
      </c>
      <c r="C16" s="2" t="str">
        <f aca="false">Data!F16</f>
        <v>STD</v>
      </c>
      <c r="D16" s="3" t="str">
        <f aca="false">IF(E16=0,"CORE",IF(E16=1,"WATCH","NON-CORE"))</f>
        <v>CORE</v>
      </c>
      <c r="E16" s="4" t="n">
        <f aca="false">COUNTIF(F16:K16,"FAIL")</f>
        <v>0</v>
      </c>
      <c r="F16" s="3" t="str">
        <f aca="false">IF(C16="FIN",IF(Data!M16=Data!H16,"PASS","FAIL"),IF(AND(ISNUMBER(Data!L16),Data!L16&gt;=Rules!$B$5,IF(Data!H16&lt;5,Data!M16=Data!H16,Data!M16&gt;=Rules!$B$6)),"PASS","FAIL"))</f>
        <v>PASS</v>
      </c>
      <c r="G16" s="3" t="str">
        <f aca="false">IF(C16="FIN","n/a",IF(C16="UTIL/REIT",IF(Data!Q16=Data!H16,"PASS","FAIL"),IF(AND(ISNUMBER(Data!N16),Data!N16&gt;0,IF(Data!H16&lt;5,Data!P16=Data!H16,Data!P16&gt;=Rules!$B$7)),"PASS","FAIL")))</f>
        <v>PASS</v>
      </c>
      <c r="H16" s="3" t="str">
        <f aca="false">IF(C16="FIN",IF(AND(ISNUMBER(Data!S16),Data!S16&gt;=Rules!$B$15),"PASS","FAIL"),IF(AND(ISNUMBER(Data!R16),Data!R16&gt;=Rules!$B$8),"PASS","FAIL"))</f>
        <v>PASS</v>
      </c>
      <c r="I16" s="3" t="str">
        <f aca="false">IF(C16="FIN","n/a",IF(C16="UTIL/REIT",IF(AND(Data!U16&lt;=Rules!$B$16,Data!V16&gt;=Rules!$B$17),"PASS","FAIL"),IF(AND(Data!U16&lt;=Rules!$B$9,Data!V16&gt;=Rules!$B$10),"PASS","FAIL")))</f>
        <v>PASS</v>
      </c>
      <c r="J16" s="3" t="str">
        <f aca="false">IF(AND(ISNUMBER(Data!J16),ISNUMBER(Data!K16)),IF(AND(Data!J16&gt;=Rules!$B$11,Data!K16&gt;=Rules!$B$12),"PASS","FAIL"),"FAIL")</f>
        <v>PASS</v>
      </c>
      <c r="K16" s="3" t="str">
        <f aca="false">IF(AND(ISNUMBER(Data!W16),ISNUMBER(Data!X16)),IF(AND(Data!W16&lt;=Rules!$B$13,Data!X16&lt;=Rules!$B$14),"PASS","FAIL"),"FAIL")</f>
        <v>PASS</v>
      </c>
      <c r="L16" s="4" t="str">
        <f aca="false">IF(F16="FAIL","רווחיות; ","")&amp;IF(G16="FAIL","תזרים; ","")&amp;IF(H16="FAIL","תשואה על ההון; ","")&amp;IF(I16="FAIL","מאזן; ","")&amp;IF(J16="FAIL","צמיחה; ","")&amp;IF(K16="FAIL","דילול; ","")</f>
        <v/>
      </c>
      <c r="M16" s="4" t="s">
        <v>23</v>
      </c>
      <c r="N16" s="5" t="n">
        <f aca="false">IF(M16="EXTREME",Rules!$B$23,IF(M16="HIGH",Rules!$B$22,Rules!$B$21))</f>
        <v>0.06</v>
      </c>
      <c r="O16" s="6" t="n">
        <v>33.5897972994747</v>
      </c>
      <c r="P16" s="4" t="s">
        <v>24</v>
      </c>
      <c r="Q16" s="4" t="s">
        <v>25</v>
      </c>
      <c r="R16" s="4" t="str">
        <f aca="false">IF(Q16="כן",P16,"לא רלוונטי (SMA200 יורד)")</f>
        <v>Q2</v>
      </c>
      <c r="S16" s="4" t="str">
        <f aca="false">IF(NOT(ISNUMBER(T16)),"n/a",IF(AND(T16&gt;Rules!$B$18,ISNUMBER(U16),U16&lt;Rules!$B$19),"יקרה",IF(T16&lt;Rules!$B$20,"זולה","הוגנת")))</f>
        <v>זולה</v>
      </c>
      <c r="T16" s="7" t="n">
        <f aca="false">Data!AA16</f>
        <v>0.328157553873072</v>
      </c>
      <c r="U16" s="8" t="n">
        <f aca="false">Data!AC16</f>
        <v>0.0775018063446858</v>
      </c>
      <c r="V16" s="9" t="n">
        <v>0.0367</v>
      </c>
      <c r="W16" s="5" t="n">
        <v>-0.5921</v>
      </c>
    </row>
    <row r="17" customFormat="false" ht="15" hidden="false" customHeight="false" outlineLevel="0" collapsed="false">
      <c r="A17" s="2" t="str">
        <f aca="false">Data!A17</f>
        <v>CSCO</v>
      </c>
      <c r="B17" s="2" t="str">
        <f aca="false">Data!B17</f>
        <v>Cisco Systems Inc.</v>
      </c>
      <c r="C17" s="2" t="str">
        <f aca="false">Data!F17</f>
        <v>STD</v>
      </c>
      <c r="D17" s="3" t="str">
        <f aca="false">IF(E17=0,"CORE",IF(E17=1,"WATCH","NON-CORE"))</f>
        <v>CORE</v>
      </c>
      <c r="E17" s="4" t="n">
        <f aca="false">COUNTIF(F17:K17,"FAIL")</f>
        <v>0</v>
      </c>
      <c r="F17" s="3" t="str">
        <f aca="false">IF(C17="FIN",IF(Data!M17=Data!H17,"PASS","FAIL"),IF(AND(ISNUMBER(Data!L17),Data!L17&gt;=Rules!$B$5,IF(Data!H17&lt;5,Data!M17=Data!H17,Data!M17&gt;=Rules!$B$6)),"PASS","FAIL"))</f>
        <v>PASS</v>
      </c>
      <c r="G17" s="3" t="str">
        <f aca="false">IF(C17="FIN","n/a",IF(C17="UTIL/REIT",IF(Data!Q17=Data!H17,"PASS","FAIL"),IF(AND(ISNUMBER(Data!N17),Data!N17&gt;0,IF(Data!H17&lt;5,Data!P17=Data!H17,Data!P17&gt;=Rules!$B$7)),"PASS","FAIL")))</f>
        <v>PASS</v>
      </c>
      <c r="H17" s="3" t="str">
        <f aca="false">IF(C17="FIN",IF(AND(ISNUMBER(Data!S17),Data!S17&gt;=Rules!$B$15),"PASS","FAIL"),IF(AND(ISNUMBER(Data!R17),Data!R17&gt;=Rules!$B$8),"PASS","FAIL"))</f>
        <v>PASS</v>
      </c>
      <c r="I17" s="3" t="str">
        <f aca="false">IF(C17="FIN","n/a",IF(C17="UTIL/REIT",IF(AND(Data!U17&lt;=Rules!$B$16,Data!V17&gt;=Rules!$B$17),"PASS","FAIL"),IF(AND(Data!U17&lt;=Rules!$B$9,Data!V17&gt;=Rules!$B$10),"PASS","FAIL")))</f>
        <v>PASS</v>
      </c>
      <c r="J17" s="3" t="str">
        <f aca="false">IF(AND(ISNUMBER(Data!J17),ISNUMBER(Data!K17)),IF(AND(Data!J17&gt;=Rules!$B$11,Data!K17&gt;=Rules!$B$12),"PASS","FAIL"),"FAIL")</f>
        <v>PASS</v>
      </c>
      <c r="K17" s="3" t="str">
        <f aca="false">IF(AND(ISNUMBER(Data!W17),ISNUMBER(Data!X17)),IF(AND(Data!W17&lt;=Rules!$B$13,Data!X17&lt;=Rules!$B$14),"PASS","FAIL"),"FAIL")</f>
        <v>PASS</v>
      </c>
      <c r="L17" s="4" t="str">
        <f aca="false">IF(F17="FAIL","רווחיות; ","")&amp;IF(G17="FAIL","תזרים; ","")&amp;IF(H17="FAIL","תשואה על ההון; ","")&amp;IF(I17="FAIL","מאזן; ","")&amp;IF(J17="FAIL","צמיחה; ","")&amp;IF(K17="FAIL","דילול; ","")</f>
        <v/>
      </c>
      <c r="M17" s="4" t="s">
        <v>29</v>
      </c>
      <c r="N17" s="5" t="n">
        <f aca="false">IF(M17="EXTREME",Rules!$B$23,IF(M17="HIGH",Rules!$B$22,Rules!$B$21))</f>
        <v>0.1</v>
      </c>
      <c r="O17" s="6" t="n">
        <v>60.7062292546164</v>
      </c>
      <c r="P17" s="4" t="s">
        <v>27</v>
      </c>
      <c r="Q17" s="4" t="s">
        <v>25</v>
      </c>
      <c r="R17" s="4" t="str">
        <f aca="false">IF(Q17="כן",P17,"לא רלוונטי (SMA200 יורד)")</f>
        <v>Q3</v>
      </c>
      <c r="S17" s="4" t="str">
        <f aca="false">IF(NOT(ISNUMBER(T17)),"n/a",IF(AND(T17&gt;Rules!$B$18,ISNUMBER(U17),U17&lt;Rules!$B$19),"יקרה",IF(T17&lt;Rules!$B$20,"זולה","הוגנת")))</f>
        <v>הוגנת</v>
      </c>
      <c r="T17" s="7" t="n">
        <f aca="false">Data!AA17</f>
        <v>1.81212424662848</v>
      </c>
      <c r="U17" s="8" t="n">
        <f aca="false">Data!AC17</f>
        <v>0.0301705807523817</v>
      </c>
      <c r="V17" s="9" t="n">
        <v>0.0242</v>
      </c>
      <c r="W17" s="5" t="n">
        <v>-0.3862</v>
      </c>
    </row>
    <row r="18" customFormat="false" ht="15" hidden="false" customHeight="false" outlineLevel="0" collapsed="false">
      <c r="A18" s="2" t="str">
        <f aca="false">Data!A18</f>
        <v>ETN</v>
      </c>
      <c r="B18" s="2" t="str">
        <f aca="false">Data!B18</f>
        <v>Eaton Corp. PLC</v>
      </c>
      <c r="C18" s="2" t="str">
        <f aca="false">Data!F18</f>
        <v>STD</v>
      </c>
      <c r="D18" s="3" t="str">
        <f aca="false">IF(E18=0,"CORE",IF(E18=1,"WATCH","NON-CORE"))</f>
        <v>CORE</v>
      </c>
      <c r="E18" s="4" t="n">
        <f aca="false">COUNTIF(F18:K18,"FAIL")</f>
        <v>0</v>
      </c>
      <c r="F18" s="3" t="str">
        <f aca="false">IF(C18="FIN",IF(Data!M18=Data!H18,"PASS","FAIL"),IF(AND(ISNUMBER(Data!L18),Data!L18&gt;=Rules!$B$5,IF(Data!H18&lt;5,Data!M18=Data!H18,Data!M18&gt;=Rules!$B$6)),"PASS","FAIL"))</f>
        <v>PASS</v>
      </c>
      <c r="G18" s="3" t="str">
        <f aca="false">IF(C18="FIN","n/a",IF(C18="UTIL/REIT",IF(Data!Q18=Data!H18,"PASS","FAIL"),IF(AND(ISNUMBER(Data!N18),Data!N18&gt;0,IF(Data!H18&lt;5,Data!P18=Data!H18,Data!P18&gt;=Rules!$B$7)),"PASS","FAIL")))</f>
        <v>PASS</v>
      </c>
      <c r="H18" s="3" t="str">
        <f aca="false">IF(C18="FIN",IF(AND(ISNUMBER(Data!S18),Data!S18&gt;=Rules!$B$15),"PASS","FAIL"),IF(AND(ISNUMBER(Data!R18),Data!R18&gt;=Rules!$B$8),"PASS","FAIL"))</f>
        <v>PASS</v>
      </c>
      <c r="I18" s="3" t="str">
        <f aca="false">IF(C18="FIN","n/a",IF(C18="UTIL/REIT",IF(AND(Data!U18&lt;=Rules!$B$16,Data!V18&gt;=Rules!$B$17),"PASS","FAIL"),IF(AND(Data!U18&lt;=Rules!$B$9,Data!V18&gt;=Rules!$B$10),"PASS","FAIL")))</f>
        <v>PASS</v>
      </c>
      <c r="J18" s="3" t="str">
        <f aca="false">IF(AND(ISNUMBER(Data!J18),ISNUMBER(Data!K18)),IF(AND(Data!J18&gt;=Rules!$B$11,Data!K18&gt;=Rules!$B$12),"PASS","FAIL"),"FAIL")</f>
        <v>PASS</v>
      </c>
      <c r="K18" s="3" t="str">
        <f aca="false">IF(AND(ISNUMBER(Data!W18),ISNUMBER(Data!X18)),IF(AND(Data!W18&lt;=Rules!$B$13,Data!X18&lt;=Rules!$B$14),"PASS","FAIL"),"FAIL")</f>
        <v>PASS</v>
      </c>
      <c r="L18" s="4" t="str">
        <f aca="false">IF(F18="FAIL","רווחיות; ","")&amp;IF(G18="FAIL","תזרים; ","")&amp;IF(H18="FAIL","תשואה על ההון; ","")&amp;IF(I18="FAIL","מאזן; ","")&amp;IF(J18="FAIL","צמיחה; ","")&amp;IF(K18="FAIL","דילול; ","")</f>
        <v/>
      </c>
      <c r="M18" s="4" t="s">
        <v>23</v>
      </c>
      <c r="N18" s="5" t="n">
        <f aca="false">IF(M18="EXTREME",Rules!$B$23,IF(M18="HIGH",Rules!$B$22,Rules!$B$21))</f>
        <v>0.06</v>
      </c>
      <c r="O18" s="6" t="n">
        <v>52.7505516406862</v>
      </c>
      <c r="P18" s="4" t="s">
        <v>27</v>
      </c>
      <c r="Q18" s="4" t="s">
        <v>25</v>
      </c>
      <c r="R18" s="4" t="str">
        <f aca="false">IF(Q18="כן",P18,"לא רלוונטי (SMA200 יורד)")</f>
        <v>Q3</v>
      </c>
      <c r="S18" s="4" t="str">
        <f aca="false">IF(NOT(ISNUMBER(T18)),"n/a",IF(AND(T18&gt;Rules!$B$18,ISNUMBER(U18),U18&lt;Rules!$B$19),"יקרה",IF(T18&lt;Rules!$B$20,"זולה","הוגנת")))</f>
        <v>הוגנת</v>
      </c>
      <c r="T18" s="7" t="n">
        <f aca="false">Data!AA18</f>
        <v>1.42523987993537</v>
      </c>
      <c r="U18" s="8" t="n">
        <f aca="false">Data!AC18</f>
        <v>0.0271843232980871</v>
      </c>
      <c r="V18" s="9" t="n">
        <v>0.0315</v>
      </c>
      <c r="W18" s="5" t="n">
        <v>-0.3473</v>
      </c>
    </row>
    <row r="19" customFormat="false" ht="15" hidden="false" customHeight="false" outlineLevel="0" collapsed="false">
      <c r="A19" s="2" t="str">
        <f aca="false">Data!A19</f>
        <v>GE</v>
      </c>
      <c r="B19" s="2" t="str">
        <f aca="false">Data!B19</f>
        <v>GE Aerospace</v>
      </c>
      <c r="C19" s="2" t="str">
        <f aca="false">Data!F19</f>
        <v>STD</v>
      </c>
      <c r="D19" s="3" t="str">
        <f aca="false">IF(E19=0,"CORE",IF(E19=1,"WATCH","NON-CORE"))</f>
        <v>CORE</v>
      </c>
      <c r="E19" s="4" t="n">
        <f aca="false">COUNTIF(F19:K19,"FAIL")</f>
        <v>0</v>
      </c>
      <c r="F19" s="3" t="str">
        <f aca="false">IF(C19="FIN",IF(Data!M19=Data!H19,"PASS","FAIL"),IF(AND(ISNUMBER(Data!L19),Data!L19&gt;=Rules!$B$5,IF(Data!H19&lt;5,Data!M19=Data!H19,Data!M19&gt;=Rules!$B$6)),"PASS","FAIL"))</f>
        <v>PASS</v>
      </c>
      <c r="G19" s="3" t="str">
        <f aca="false">IF(C19="FIN","n/a",IF(C19="UTIL/REIT",IF(Data!Q19=Data!H19,"PASS","FAIL"),IF(AND(ISNUMBER(Data!N19),Data!N19&gt;0,IF(Data!H19&lt;5,Data!P19=Data!H19,Data!P19&gt;=Rules!$B$7)),"PASS","FAIL")))</f>
        <v>PASS</v>
      </c>
      <c r="H19" s="3" t="str">
        <f aca="false">IF(C19="FIN",IF(AND(ISNUMBER(Data!S19),Data!S19&gt;=Rules!$B$15),"PASS","FAIL"),IF(AND(ISNUMBER(Data!R19),Data!R19&gt;=Rules!$B$8),"PASS","FAIL"))</f>
        <v>PASS</v>
      </c>
      <c r="I19" s="3" t="str">
        <f aca="false">IF(C19="FIN","n/a",IF(C19="UTIL/REIT",IF(AND(Data!U19&lt;=Rules!$B$16,Data!V19&gt;=Rules!$B$17),"PASS","FAIL"),IF(AND(Data!U19&lt;=Rules!$B$9,Data!V19&gt;=Rules!$B$10),"PASS","FAIL")))</f>
        <v>PASS</v>
      </c>
      <c r="J19" s="3" t="str">
        <f aca="false">IF(AND(ISNUMBER(Data!J19),ISNUMBER(Data!K19)),IF(AND(Data!J19&gt;=Rules!$B$11,Data!K19&gt;=Rules!$B$12),"PASS","FAIL"),"FAIL")</f>
        <v>PASS</v>
      </c>
      <c r="K19" s="3" t="str">
        <f aca="false">IF(AND(ISNUMBER(Data!W19),ISNUMBER(Data!X19)),IF(AND(Data!W19&lt;=Rules!$B$13,Data!X19&lt;=Rules!$B$14),"PASS","FAIL"),"FAIL")</f>
        <v>PASS</v>
      </c>
      <c r="L19" s="4" t="str">
        <f aca="false">IF(F19="FAIL","רווחיות; ","")&amp;IF(G19="FAIL","תזרים; ","")&amp;IF(H19="FAIL","תשואה על ההון; ","")&amp;IF(I19="FAIL","מאזן; ","")&amp;IF(J19="FAIL","צמיחה; ","")&amp;IF(K19="FAIL","דילול; ","")</f>
        <v/>
      </c>
      <c r="M19" s="4" t="s">
        <v>29</v>
      </c>
      <c r="N19" s="5" t="n">
        <f aca="false">IF(M19="EXTREME",Rules!$B$23,IF(M19="HIGH",Rules!$B$22,Rules!$B$21))</f>
        <v>0.1</v>
      </c>
      <c r="O19" s="6" t="n">
        <v>91.0952425183924</v>
      </c>
      <c r="P19" s="4" t="s">
        <v>30</v>
      </c>
      <c r="Q19" s="4" t="s">
        <v>25</v>
      </c>
      <c r="R19" s="4" t="str">
        <f aca="false">IF(Q19="כן",P19,"לא רלוונטי (SMA200 יורד)")</f>
        <v>Q4</v>
      </c>
      <c r="S19" s="4" t="str">
        <f aca="false">IF(NOT(ISNUMBER(T19)),"n/a",IF(AND(T19&gt;Rules!$B$18,ISNUMBER(U19),U19&lt;Rules!$B$19),"יקרה",IF(T19&lt;Rules!$B$20,"זולה","הוגנת")))</f>
        <v>הוגנת</v>
      </c>
      <c r="T19" s="7" t="n">
        <f aca="false">Data!AA19</f>
        <v>1.10031934851309</v>
      </c>
      <c r="U19" s="8" t="n">
        <f aca="false">Data!AC19</f>
        <v>0.0263018999760594</v>
      </c>
      <c r="V19" s="9" t="n">
        <v>0.0247</v>
      </c>
      <c r="W19" s="5" t="n">
        <v>-0.4513</v>
      </c>
    </row>
    <row r="20" customFormat="false" ht="15" hidden="false" customHeight="false" outlineLevel="0" collapsed="false">
      <c r="A20" s="2" t="str">
        <f aca="false">Data!A20</f>
        <v>GOOGL</v>
      </c>
      <c r="B20" s="2" t="str">
        <f aca="false">Data!B20</f>
        <v>Alphabet Inc.</v>
      </c>
      <c r="C20" s="2" t="str">
        <f aca="false">Data!F20</f>
        <v>STD</v>
      </c>
      <c r="D20" s="3" t="str">
        <f aca="false">IF(E20=0,"CORE",IF(E20=1,"WATCH","NON-CORE"))</f>
        <v>CORE</v>
      </c>
      <c r="E20" s="4" t="n">
        <f aca="false">COUNTIF(F20:K20,"FAIL")</f>
        <v>0</v>
      </c>
      <c r="F20" s="3" t="str">
        <f aca="false">IF(C20="FIN",IF(Data!M20=Data!H20,"PASS","FAIL"),IF(AND(ISNUMBER(Data!L20),Data!L20&gt;=Rules!$B$5,IF(Data!H20&lt;5,Data!M20=Data!H20,Data!M20&gt;=Rules!$B$6)),"PASS","FAIL"))</f>
        <v>PASS</v>
      </c>
      <c r="G20" s="3" t="str">
        <f aca="false">IF(C20="FIN","n/a",IF(C20="UTIL/REIT",IF(Data!Q20=Data!H20,"PASS","FAIL"),IF(AND(ISNUMBER(Data!N20),Data!N20&gt;0,IF(Data!H20&lt;5,Data!P20=Data!H20,Data!P20&gt;=Rules!$B$7)),"PASS","FAIL")))</f>
        <v>PASS</v>
      </c>
      <c r="H20" s="3" t="str">
        <f aca="false">IF(C20="FIN",IF(AND(ISNUMBER(Data!S20),Data!S20&gt;=Rules!$B$15),"PASS","FAIL"),IF(AND(ISNUMBER(Data!R20),Data!R20&gt;=Rules!$B$8),"PASS","FAIL"))</f>
        <v>PASS</v>
      </c>
      <c r="I20" s="3" t="str">
        <f aca="false">IF(C20="FIN","n/a",IF(C20="UTIL/REIT",IF(AND(Data!U20&lt;=Rules!$B$16,Data!V20&gt;=Rules!$B$17),"PASS","FAIL"),IF(AND(Data!U20&lt;=Rules!$B$9,Data!V20&gt;=Rules!$B$10),"PASS","FAIL")))</f>
        <v>PASS</v>
      </c>
      <c r="J20" s="3" t="str">
        <f aca="false">IF(AND(ISNUMBER(Data!J20),ISNUMBER(Data!K20)),IF(AND(Data!J20&gt;=Rules!$B$11,Data!K20&gt;=Rules!$B$12),"PASS","FAIL"),"FAIL")</f>
        <v>PASS</v>
      </c>
      <c r="K20" s="3" t="str">
        <f aca="false">IF(AND(ISNUMBER(Data!W20),ISNUMBER(Data!X20)),IF(AND(Data!W20&lt;=Rules!$B$13,Data!X20&lt;=Rules!$B$14),"PASS","FAIL"),"FAIL")</f>
        <v>PASS</v>
      </c>
      <c r="L20" s="4" t="str">
        <f aca="false">IF(F20="FAIL","רווחיות; ","")&amp;IF(G20="FAIL","תזרים; ","")&amp;IF(H20="FAIL","תשואה על ההון; ","")&amp;IF(I20="FAIL","מאזן; ","")&amp;IF(J20="FAIL","צמיחה; ","")&amp;IF(K20="FAIL","דילול; ","")</f>
        <v/>
      </c>
      <c r="M20" s="4" t="s">
        <v>29</v>
      </c>
      <c r="N20" s="5" t="n">
        <f aca="false">IF(M20="EXTREME",Rules!$B$23,IF(M20="HIGH",Rules!$B$22,Rules!$B$21))</f>
        <v>0.1</v>
      </c>
      <c r="O20" s="6" t="n">
        <v>71.4501343059218</v>
      </c>
      <c r="P20" s="4" t="s">
        <v>27</v>
      </c>
      <c r="Q20" s="4" t="s">
        <v>25</v>
      </c>
      <c r="R20" s="4" t="str">
        <f aca="false">IF(Q20="כן",P20,"לא רלוונטי (SMA200 יורד)")</f>
        <v>Q3</v>
      </c>
      <c r="S20" s="4" t="str">
        <f aca="false">IF(NOT(ISNUMBER(T20)),"n/a",IF(AND(T20&gt;Rules!$B$18,ISNUMBER(U20),U20&lt;Rules!$B$19),"יקרה",IF(T20&lt;Rules!$B$20,"זולה","הוגנת")))</f>
        <v>זולה</v>
      </c>
      <c r="T20" s="7" t="n">
        <f aca="false">Data!AA20</f>
        <v>0.726962493652077</v>
      </c>
      <c r="U20" s="8" t="n">
        <f aca="false">Data!AC20</f>
        <v>0.0124799639279306</v>
      </c>
      <c r="V20" s="9" t="n">
        <v>0.0237</v>
      </c>
      <c r="W20" s="5" t="n">
        <v>-0.4435</v>
      </c>
    </row>
    <row r="21" customFormat="false" ht="15" hidden="false" customHeight="false" outlineLevel="0" collapsed="false">
      <c r="A21" s="2" t="str">
        <f aca="false">Data!A21</f>
        <v>GS</v>
      </c>
      <c r="B21" s="2" t="str">
        <f aca="false">Data!B21</f>
        <v>Goldman Sachs Group Inc.</v>
      </c>
      <c r="C21" s="2" t="str">
        <f aca="false">Data!F21</f>
        <v>FIN</v>
      </c>
      <c r="D21" s="3" t="str">
        <f aca="false">IF(E21=0,"CORE",IF(E21=1,"WATCH","NON-CORE"))</f>
        <v>CORE</v>
      </c>
      <c r="E21" s="4" t="n">
        <f aca="false">COUNTIF(F21:K21,"FAIL")</f>
        <v>0</v>
      </c>
      <c r="F21" s="3" t="str">
        <f aca="false">IF(C21="FIN",IF(Data!M21=Data!H21,"PASS","FAIL"),IF(AND(ISNUMBER(Data!L21),Data!L21&gt;=Rules!$B$5,IF(Data!H21&lt;5,Data!M21=Data!H21,Data!M21&gt;=Rules!$B$6)),"PASS","FAIL"))</f>
        <v>PASS</v>
      </c>
      <c r="G21" s="3" t="str">
        <f aca="false">IF(C21="FIN","n/a",IF(C21="UTIL/REIT",IF(Data!Q21=Data!H21,"PASS","FAIL"),IF(AND(ISNUMBER(Data!N21),Data!N21&gt;0,IF(Data!H21&lt;5,Data!P21=Data!H21,Data!P21&gt;=Rules!$B$7)),"PASS","FAIL")))</f>
        <v>n/a</v>
      </c>
      <c r="H21" s="3" t="str">
        <f aca="false">IF(C21="FIN",IF(AND(ISNUMBER(Data!S21),Data!S21&gt;=Rules!$B$15),"PASS","FAIL"),IF(AND(ISNUMBER(Data!R21),Data!R21&gt;=Rules!$B$8),"PASS","FAIL"))</f>
        <v>PASS</v>
      </c>
      <c r="I21" s="3" t="str">
        <f aca="false">IF(C21="FIN","n/a",IF(C21="UTIL/REIT",IF(AND(Data!U21&lt;=Rules!$B$16,Data!V21&gt;=Rules!$B$17),"PASS","FAIL"),IF(AND(Data!U21&lt;=Rules!$B$9,Data!V21&gt;=Rules!$B$10),"PASS","FAIL")))</f>
        <v>n/a</v>
      </c>
      <c r="J21" s="3" t="str">
        <f aca="false">IF(AND(ISNUMBER(Data!J21),ISNUMBER(Data!K21)),IF(AND(Data!J21&gt;=Rules!$B$11,Data!K21&gt;=Rules!$B$12),"PASS","FAIL"),"FAIL")</f>
        <v>PASS</v>
      </c>
      <c r="K21" s="3" t="str">
        <f aca="false">IF(AND(ISNUMBER(Data!W21),ISNUMBER(Data!X21)),IF(AND(Data!W21&lt;=Rules!$B$13,Data!X21&lt;=Rules!$B$14),"PASS","FAIL"),"FAIL")</f>
        <v>PASS</v>
      </c>
      <c r="L21" s="4" t="str">
        <f aca="false">IF(F21="FAIL","רווחיות; ","")&amp;IF(G21="FAIL","תזרים; ","")&amp;IF(H21="FAIL","תשואה על ההון; ","")&amp;IF(I21="FAIL","מאזן; ","")&amp;IF(J21="FAIL","צמיחה; ","")&amp;IF(K21="FAIL","דילול; ","")</f>
        <v/>
      </c>
      <c r="M21" s="4" t="s">
        <v>29</v>
      </c>
      <c r="N21" s="5" t="n">
        <f aca="false">IF(M21="EXTREME",Rules!$B$23,IF(M21="HIGH",Rules!$B$22,Rules!$B$21))</f>
        <v>0.1</v>
      </c>
      <c r="O21" s="6" t="n">
        <v>94.0621048780442</v>
      </c>
      <c r="P21" s="4" t="s">
        <v>30</v>
      </c>
      <c r="Q21" s="4" t="s">
        <v>25</v>
      </c>
      <c r="R21" s="4" t="str">
        <f aca="false">IF(Q21="כן",P21,"לא רלוונטי (SMA200 יורד)")</f>
        <v>Q4</v>
      </c>
      <c r="S21" s="4" t="str">
        <f aca="false">IF(NOT(ISNUMBER(T21)),"n/a",IF(AND(T21&gt;Rules!$B$18,ISNUMBER(U21),U21&lt;Rules!$B$19),"יקרה",IF(T21&lt;Rules!$B$20,"זולה","הוגנת")))</f>
        <v>הוגנת</v>
      </c>
      <c r="T21" s="7" t="n">
        <f aca="false">Data!AA21</f>
        <v>1.20914903418481</v>
      </c>
      <c r="U21" s="8" t="n">
        <f aca="false">Data!AC21</f>
        <v>-0.15741984933249</v>
      </c>
      <c r="V21" s="9" t="n">
        <v>0.0259</v>
      </c>
      <c r="W21" s="5" t="n">
        <v>-0.3398</v>
      </c>
    </row>
    <row r="22" customFormat="false" ht="15" hidden="false" customHeight="false" outlineLevel="0" collapsed="false">
      <c r="A22" s="2" t="str">
        <f aca="false">Data!A22</f>
        <v>INTU</v>
      </c>
      <c r="B22" s="2" t="str">
        <f aca="false">Data!B22</f>
        <v>Intuit Inc.</v>
      </c>
      <c r="C22" s="2" t="str">
        <f aca="false">Data!F22</f>
        <v>STD</v>
      </c>
      <c r="D22" s="3" t="str">
        <f aca="false">IF(E22=0,"CORE",IF(E22=1,"WATCH","NON-CORE"))</f>
        <v>CORE</v>
      </c>
      <c r="E22" s="4" t="n">
        <f aca="false">COUNTIF(F22:K22,"FAIL")</f>
        <v>0</v>
      </c>
      <c r="F22" s="3" t="str">
        <f aca="false">IF(C22="FIN",IF(Data!M22=Data!H22,"PASS","FAIL"),IF(AND(ISNUMBER(Data!L22),Data!L22&gt;=Rules!$B$5,IF(Data!H22&lt;5,Data!M22=Data!H22,Data!M22&gt;=Rules!$B$6)),"PASS","FAIL"))</f>
        <v>PASS</v>
      </c>
      <c r="G22" s="3" t="str">
        <f aca="false">IF(C22="FIN","n/a",IF(C22="UTIL/REIT",IF(Data!Q22=Data!H22,"PASS","FAIL"),IF(AND(ISNUMBER(Data!N22),Data!N22&gt;0,IF(Data!H22&lt;5,Data!P22=Data!H22,Data!P22&gt;=Rules!$B$7)),"PASS","FAIL")))</f>
        <v>PASS</v>
      </c>
      <c r="H22" s="3" t="str">
        <f aca="false">IF(C22="FIN",IF(AND(ISNUMBER(Data!S22),Data!S22&gt;=Rules!$B$15),"PASS","FAIL"),IF(AND(ISNUMBER(Data!R22),Data!R22&gt;=Rules!$B$8),"PASS","FAIL"))</f>
        <v>PASS</v>
      </c>
      <c r="I22" s="3" t="str">
        <f aca="false">IF(C22="FIN","n/a",IF(C22="UTIL/REIT",IF(AND(Data!U22&lt;=Rules!$B$16,Data!V22&gt;=Rules!$B$17),"PASS","FAIL"),IF(AND(Data!U22&lt;=Rules!$B$9,Data!V22&gt;=Rules!$B$10),"PASS","FAIL")))</f>
        <v>PASS</v>
      </c>
      <c r="J22" s="3" t="str">
        <f aca="false">IF(AND(ISNUMBER(Data!J22),ISNUMBER(Data!K22)),IF(AND(Data!J22&gt;=Rules!$B$11,Data!K22&gt;=Rules!$B$12),"PASS","FAIL"),"FAIL")</f>
        <v>PASS</v>
      </c>
      <c r="K22" s="3" t="str">
        <f aca="false">IF(AND(ISNUMBER(Data!W22),ISNUMBER(Data!X22)),IF(AND(Data!W22&lt;=Rules!$B$13,Data!X22&lt;=Rules!$B$14),"PASS","FAIL"),"FAIL")</f>
        <v>PASS</v>
      </c>
      <c r="L22" s="4" t="str">
        <f aca="false">IF(F22="FAIL","רווחיות; ","")&amp;IF(G22="FAIL","תזרים; ","")&amp;IF(H22="FAIL","תשואה על ההון; ","")&amp;IF(I22="FAIL","מאזן; ","")&amp;IF(J22="FAIL","צמיחה; ","")&amp;IF(K22="FAIL","דילול; ","")</f>
        <v/>
      </c>
      <c r="M22" s="4" t="s">
        <v>26</v>
      </c>
      <c r="N22" s="5" t="n">
        <f aca="false">IF(M22="EXTREME",Rules!$B$23,IF(M22="HIGH",Rules!$B$22,Rules!$B$21))</f>
        <v>0.03</v>
      </c>
      <c r="O22" s="6" t="n">
        <v>92.0496012526373</v>
      </c>
      <c r="P22" s="4" t="s">
        <v>30</v>
      </c>
      <c r="Q22" s="4" t="s">
        <v>28</v>
      </c>
      <c r="R22" s="4" t="str">
        <f aca="false">IF(Q22="כן",P22,"לא רלוונטי (SMA200 יורד)")</f>
        <v>לא רלוונטי (SMA200 יורד)</v>
      </c>
      <c r="S22" s="4" t="str">
        <f aca="false">IF(NOT(ISNUMBER(T22)),"n/a",IF(AND(T22&gt;Rules!$B$18,ISNUMBER(U22),U22&lt;Rules!$B$19),"יקרה",IF(T22&lt;Rules!$B$20,"זולה","הוגנת")))</f>
        <v>זולה</v>
      </c>
      <c r="T22" s="7" t="n">
        <f aca="false">Data!AA22</f>
        <v>0.306771362577868</v>
      </c>
      <c r="U22" s="8" t="n">
        <f aca="false">Data!AC22</f>
        <v>0.102951523979349</v>
      </c>
      <c r="V22" s="9" t="n">
        <v>0.0408</v>
      </c>
      <c r="W22" s="5" t="n">
        <v>-0.6842</v>
      </c>
    </row>
    <row r="23" customFormat="false" ht="15" hidden="false" customHeight="false" outlineLevel="0" collapsed="false">
      <c r="A23" s="2" t="str">
        <f aca="false">Data!A23</f>
        <v>ISRG</v>
      </c>
      <c r="B23" s="2" t="str">
        <f aca="false">Data!B23</f>
        <v>Intuitive Surgical Inc.</v>
      </c>
      <c r="C23" s="2" t="str">
        <f aca="false">Data!F23</f>
        <v>STD</v>
      </c>
      <c r="D23" s="3" t="str">
        <f aca="false">IF(E23=0,"CORE",IF(E23=1,"WATCH","NON-CORE"))</f>
        <v>CORE</v>
      </c>
      <c r="E23" s="4" t="n">
        <f aca="false">COUNTIF(F23:K23,"FAIL")</f>
        <v>0</v>
      </c>
      <c r="F23" s="3" t="str">
        <f aca="false">IF(C23="FIN",IF(Data!M23=Data!H23,"PASS","FAIL"),IF(AND(ISNUMBER(Data!L23),Data!L23&gt;=Rules!$B$5,IF(Data!H23&lt;5,Data!M23=Data!H23,Data!M23&gt;=Rules!$B$6)),"PASS","FAIL"))</f>
        <v>PASS</v>
      </c>
      <c r="G23" s="3" t="str">
        <f aca="false">IF(C23="FIN","n/a",IF(C23="UTIL/REIT",IF(Data!Q23=Data!H23,"PASS","FAIL"),IF(AND(ISNUMBER(Data!N23),Data!N23&gt;0,IF(Data!H23&lt;5,Data!P23=Data!H23,Data!P23&gt;=Rules!$B$7)),"PASS","FAIL")))</f>
        <v>PASS</v>
      </c>
      <c r="H23" s="3" t="str">
        <f aca="false">IF(C23="FIN",IF(AND(ISNUMBER(Data!S23),Data!S23&gt;=Rules!$B$15),"PASS","FAIL"),IF(AND(ISNUMBER(Data!R23),Data!R23&gt;=Rules!$B$8),"PASS","FAIL"))</f>
        <v>PASS</v>
      </c>
      <c r="I23" s="3" t="str">
        <f aca="false">IF(C23="FIN","n/a",IF(C23="UTIL/REIT",IF(AND(Data!U23&lt;=Rules!$B$16,Data!V23&gt;=Rules!$B$17),"PASS","FAIL"),IF(AND(Data!U23&lt;=Rules!$B$9,Data!V23&gt;=Rules!$B$10),"PASS","FAIL")))</f>
        <v>PASS</v>
      </c>
      <c r="J23" s="3" t="str">
        <f aca="false">IF(AND(ISNUMBER(Data!J23),ISNUMBER(Data!K23)),IF(AND(Data!J23&gt;=Rules!$B$11,Data!K23&gt;=Rules!$B$12),"PASS","FAIL"),"FAIL")</f>
        <v>PASS</v>
      </c>
      <c r="K23" s="3" t="str">
        <f aca="false">IF(AND(ISNUMBER(Data!W23),ISNUMBER(Data!X23)),IF(AND(Data!W23&lt;=Rules!$B$13,Data!X23&lt;=Rules!$B$14),"PASS","FAIL"),"FAIL")</f>
        <v>PASS</v>
      </c>
      <c r="L23" s="4" t="str">
        <f aca="false">IF(F23="FAIL","רווחיות; ","")&amp;IF(G23="FAIL","תזרים; ","")&amp;IF(H23="FAIL","תשואה על ההון; ","")&amp;IF(I23="FAIL","מאזן; ","")&amp;IF(J23="FAIL","צמיחה; ","")&amp;IF(K23="FAIL","דילול; ","")</f>
        <v/>
      </c>
      <c r="M23" s="4" t="s">
        <v>23</v>
      </c>
      <c r="N23" s="5" t="n">
        <f aca="false">IF(M23="EXTREME",Rules!$B$23,IF(M23="HIGH",Rules!$B$22,Rules!$B$21))</f>
        <v>0.06</v>
      </c>
      <c r="O23" s="6" t="n">
        <v>84.2565878144626</v>
      </c>
      <c r="P23" s="4" t="s">
        <v>30</v>
      </c>
      <c r="Q23" s="4" t="s">
        <v>28</v>
      </c>
      <c r="R23" s="4" t="str">
        <f aca="false">IF(Q23="כן",P23,"לא רלוונטי (SMA200 יורד)")</f>
        <v>לא רלוונטי (SMA200 יורד)</v>
      </c>
      <c r="S23" s="4" t="str">
        <f aca="false">IF(NOT(ISNUMBER(T23)),"n/a",IF(AND(T23&gt;Rules!$B$18,ISNUMBER(U23),U23&lt;Rules!$B$19),"יקרה",IF(T23&lt;Rules!$B$20,"זולה","הוגנת")))</f>
        <v>זולה</v>
      </c>
      <c r="T23" s="7" t="n">
        <f aca="false">Data!AA23</f>
        <v>0.669477153615468</v>
      </c>
      <c r="U23" s="8" t="n">
        <f aca="false">Data!AC23</f>
        <v>0.0215841338692911</v>
      </c>
      <c r="V23" s="9" t="n">
        <v>0.0298</v>
      </c>
      <c r="W23" s="5" t="n">
        <v>-0.4991</v>
      </c>
    </row>
    <row r="24" customFormat="false" ht="15" hidden="false" customHeight="false" outlineLevel="0" collapsed="false">
      <c r="A24" s="2" t="str">
        <f aca="false">Data!A24</f>
        <v>JNJ</v>
      </c>
      <c r="B24" s="2" t="str">
        <f aca="false">Data!B24</f>
        <v>Johnson &amp; Johnson Co.</v>
      </c>
      <c r="C24" s="2" t="str">
        <f aca="false">Data!F24</f>
        <v>STD</v>
      </c>
      <c r="D24" s="3" t="str">
        <f aca="false">IF(E24=0,"CORE",IF(E24=1,"WATCH","NON-CORE"))</f>
        <v>CORE</v>
      </c>
      <c r="E24" s="4" t="n">
        <f aca="false">COUNTIF(F24:K24,"FAIL")</f>
        <v>0</v>
      </c>
      <c r="F24" s="3" t="str">
        <f aca="false">IF(C24="FIN",IF(Data!M24=Data!H24,"PASS","FAIL"),IF(AND(ISNUMBER(Data!L24),Data!L24&gt;=Rules!$B$5,IF(Data!H24&lt;5,Data!M24=Data!H24,Data!M24&gt;=Rules!$B$6)),"PASS","FAIL"))</f>
        <v>PASS</v>
      </c>
      <c r="G24" s="3" t="str">
        <f aca="false">IF(C24="FIN","n/a",IF(C24="UTIL/REIT",IF(Data!Q24=Data!H24,"PASS","FAIL"),IF(AND(ISNUMBER(Data!N24),Data!N24&gt;0,IF(Data!H24&lt;5,Data!P24=Data!H24,Data!P24&gt;=Rules!$B$7)),"PASS","FAIL")))</f>
        <v>PASS</v>
      </c>
      <c r="H24" s="3" t="str">
        <f aca="false">IF(C24="FIN",IF(AND(ISNUMBER(Data!S24),Data!S24&gt;=Rules!$B$15),"PASS","FAIL"),IF(AND(ISNUMBER(Data!R24),Data!R24&gt;=Rules!$B$8),"PASS","FAIL"))</f>
        <v>PASS</v>
      </c>
      <c r="I24" s="3" t="str">
        <f aca="false">IF(C24="FIN","n/a",IF(C24="UTIL/REIT",IF(AND(Data!U24&lt;=Rules!$B$16,Data!V24&gt;=Rules!$B$17),"PASS","FAIL"),IF(AND(Data!U24&lt;=Rules!$B$9,Data!V24&gt;=Rules!$B$10),"PASS","FAIL")))</f>
        <v>PASS</v>
      </c>
      <c r="J24" s="3" t="str">
        <f aca="false">IF(AND(ISNUMBER(Data!J24),ISNUMBER(Data!K24)),IF(AND(Data!J24&gt;=Rules!$B$11,Data!K24&gt;=Rules!$B$12),"PASS","FAIL"),"FAIL")</f>
        <v>PASS</v>
      </c>
      <c r="K24" s="3" t="str">
        <f aca="false">IF(AND(ISNUMBER(Data!W24),ISNUMBER(Data!X24)),IF(AND(Data!W24&lt;=Rules!$B$13,Data!X24&lt;=Rules!$B$14),"PASS","FAIL"),"FAIL")</f>
        <v>PASS</v>
      </c>
      <c r="L24" s="4" t="str">
        <f aca="false">IF(F24="FAIL","רווחיות; ","")&amp;IF(G24="FAIL","תזרים; ","")&amp;IF(H24="FAIL","תשואה על ההון; ","")&amp;IF(I24="FAIL","מאזן; ","")&amp;IF(J24="FAIL","צמיחה; ","")&amp;IF(K24="FAIL","דילול; ","")</f>
        <v/>
      </c>
      <c r="M24" s="4" t="s">
        <v>29</v>
      </c>
      <c r="N24" s="5" t="n">
        <f aca="false">IF(M24="EXTREME",Rules!$B$23,IF(M24="HIGH",Rules!$B$22,Rules!$B$21))</f>
        <v>0.1</v>
      </c>
      <c r="O24" s="6" t="n">
        <v>33.422070372743</v>
      </c>
      <c r="P24" s="4" t="s">
        <v>24</v>
      </c>
      <c r="Q24" s="4" t="s">
        <v>25</v>
      </c>
      <c r="R24" s="4" t="str">
        <f aca="false">IF(Q24="כן",P24,"לא רלוונטי (SMA200 יורד)")</f>
        <v>Q2</v>
      </c>
      <c r="S24" s="4" t="str">
        <f aca="false">IF(NOT(ISNUMBER(T24)),"n/a",IF(AND(T24&gt;Rules!$B$18,ISNUMBER(U24),U24&lt;Rules!$B$19),"יקרה",IF(T24&lt;Rules!$B$20,"זולה","הוגנת")))</f>
        <v>הוגנת</v>
      </c>
      <c r="T24" s="7" t="n">
        <f aca="false">Data!AA24</f>
        <v>1.32955754097024</v>
      </c>
      <c r="U24" s="8" t="n">
        <f aca="false">Data!AC24</f>
        <v>0.0308925266697662</v>
      </c>
      <c r="V24" s="9" t="n">
        <v>0.0196</v>
      </c>
      <c r="W24" s="5" t="n">
        <v>-0.2367</v>
      </c>
    </row>
    <row r="25" customFormat="false" ht="15" hidden="false" customHeight="false" outlineLevel="0" collapsed="false">
      <c r="A25" s="2" t="str">
        <f aca="false">Data!A25</f>
        <v>JPM</v>
      </c>
      <c r="B25" s="2" t="str">
        <f aca="false">Data!B25</f>
        <v>JPMorgan Chase &amp; Co.</v>
      </c>
      <c r="C25" s="2" t="str">
        <f aca="false">Data!F25</f>
        <v>FIN</v>
      </c>
      <c r="D25" s="3" t="str">
        <f aca="false">IF(E25=0,"CORE",IF(E25=1,"WATCH","NON-CORE"))</f>
        <v>CORE</v>
      </c>
      <c r="E25" s="4" t="n">
        <f aca="false">COUNTIF(F25:K25,"FAIL")</f>
        <v>0</v>
      </c>
      <c r="F25" s="3" t="str">
        <f aca="false">IF(C25="FIN",IF(Data!M25=Data!H25,"PASS","FAIL"),IF(AND(ISNUMBER(Data!L25),Data!L25&gt;=Rules!$B$5,IF(Data!H25&lt;5,Data!M25=Data!H25,Data!M25&gt;=Rules!$B$6)),"PASS","FAIL"))</f>
        <v>PASS</v>
      </c>
      <c r="G25" s="3" t="str">
        <f aca="false">IF(C25="FIN","n/a",IF(C25="UTIL/REIT",IF(Data!Q25=Data!H25,"PASS","FAIL"),IF(AND(ISNUMBER(Data!N25),Data!N25&gt;0,IF(Data!H25&lt;5,Data!P25=Data!H25,Data!P25&gt;=Rules!$B$7)),"PASS","FAIL")))</f>
        <v>n/a</v>
      </c>
      <c r="H25" s="3" t="str">
        <f aca="false">IF(C25="FIN",IF(AND(ISNUMBER(Data!S25),Data!S25&gt;=Rules!$B$15),"PASS","FAIL"),IF(AND(ISNUMBER(Data!R25),Data!R25&gt;=Rules!$B$8),"PASS","FAIL"))</f>
        <v>PASS</v>
      </c>
      <c r="I25" s="3" t="str">
        <f aca="false">IF(C25="FIN","n/a",IF(C25="UTIL/REIT",IF(AND(Data!U25&lt;=Rules!$B$16,Data!V25&gt;=Rules!$B$17),"PASS","FAIL"),IF(AND(Data!U25&lt;=Rules!$B$9,Data!V25&gt;=Rules!$B$10),"PASS","FAIL")))</f>
        <v>n/a</v>
      </c>
      <c r="J25" s="3" t="str">
        <f aca="false">IF(AND(ISNUMBER(Data!J25),ISNUMBER(Data!K25)),IF(AND(Data!J25&gt;=Rules!$B$11,Data!K25&gt;=Rules!$B$12),"PASS","FAIL"),"FAIL")</f>
        <v>PASS</v>
      </c>
      <c r="K25" s="3" t="str">
        <f aca="false">IF(AND(ISNUMBER(Data!W25),ISNUMBER(Data!X25)),IF(AND(Data!W25&lt;=Rules!$B$13,Data!X25&lt;=Rules!$B$14),"PASS","FAIL"),"FAIL")</f>
        <v>PASS</v>
      </c>
      <c r="L25" s="4" t="str">
        <f aca="false">IF(F25="FAIL","רווחיות; ","")&amp;IF(G25="FAIL","תזרים; ","")&amp;IF(H25="FAIL","תשואה על ההון; ","")&amp;IF(I25="FAIL","מאזן; ","")&amp;IF(J25="FAIL","צמיחה; ","")&amp;IF(K25="FAIL","דילול; ","")</f>
        <v/>
      </c>
      <c r="M25" s="4" t="s">
        <v>29</v>
      </c>
      <c r="N25" s="5" t="n">
        <f aca="false">IF(M25="EXTREME",Rules!$B$23,IF(M25="HIGH",Rules!$B$22,Rules!$B$21))</f>
        <v>0.1</v>
      </c>
      <c r="O25" s="6" t="n">
        <v>78.7068244848131</v>
      </c>
      <c r="P25" s="4" t="s">
        <v>30</v>
      </c>
      <c r="Q25" s="4" t="s">
        <v>25</v>
      </c>
      <c r="R25" s="4" t="str">
        <f aca="false">IF(Q25="כן",P25,"לא רלוונטי (SMA200 יורד)")</f>
        <v>Q4</v>
      </c>
      <c r="S25" s="4" t="str">
        <f aca="false">IF(NOT(ISNUMBER(T25)),"n/a",IF(AND(T25&gt;Rules!$B$18,ISNUMBER(U25),U25&lt;Rules!$B$19),"יקרה",IF(T25&lt;Rules!$B$20,"זולה","הוגנת")))</f>
        <v>הוגנת</v>
      </c>
      <c r="T25" s="7" t="n">
        <f aca="false">Data!AA25</f>
        <v>1.27159042876731</v>
      </c>
      <c r="U25" s="8" t="n">
        <f aca="false">Data!AC25</f>
        <v>-0.181823410759035</v>
      </c>
      <c r="V25" s="9" t="n">
        <v>0.0183</v>
      </c>
      <c r="W25" s="5" t="n">
        <v>-0.4093</v>
      </c>
    </row>
    <row r="26" customFormat="false" ht="15" hidden="false" customHeight="false" outlineLevel="0" collapsed="false">
      <c r="A26" s="2" t="str">
        <f aca="false">Data!A26</f>
        <v>KLAC</v>
      </c>
      <c r="B26" s="2" t="str">
        <f aca="false">Data!B26</f>
        <v>KLA Corp.</v>
      </c>
      <c r="C26" s="2" t="str">
        <f aca="false">Data!F26</f>
        <v>STD</v>
      </c>
      <c r="D26" s="3" t="str">
        <f aca="false">IF(E26=0,"CORE",IF(E26=1,"WATCH","NON-CORE"))</f>
        <v>CORE</v>
      </c>
      <c r="E26" s="4" t="n">
        <f aca="false">COUNTIF(F26:K26,"FAIL")</f>
        <v>0</v>
      </c>
      <c r="F26" s="3" t="str">
        <f aca="false">IF(C26="FIN",IF(Data!M26=Data!H26,"PASS","FAIL"),IF(AND(ISNUMBER(Data!L26),Data!L26&gt;=Rules!$B$5,IF(Data!H26&lt;5,Data!M26=Data!H26,Data!M26&gt;=Rules!$B$6)),"PASS","FAIL"))</f>
        <v>PASS</v>
      </c>
      <c r="G26" s="3" t="str">
        <f aca="false">IF(C26="FIN","n/a",IF(C26="UTIL/REIT",IF(Data!Q26=Data!H26,"PASS","FAIL"),IF(AND(ISNUMBER(Data!N26),Data!N26&gt;0,IF(Data!H26&lt;5,Data!P26=Data!H26,Data!P26&gt;=Rules!$B$7)),"PASS","FAIL")))</f>
        <v>PASS</v>
      </c>
      <c r="H26" s="3" t="str">
        <f aca="false">IF(C26="FIN",IF(AND(ISNUMBER(Data!S26),Data!S26&gt;=Rules!$B$15),"PASS","FAIL"),IF(AND(ISNUMBER(Data!R26),Data!R26&gt;=Rules!$B$8),"PASS","FAIL"))</f>
        <v>PASS</v>
      </c>
      <c r="I26" s="3" t="str">
        <f aca="false">IF(C26="FIN","n/a",IF(C26="UTIL/REIT",IF(AND(Data!U26&lt;=Rules!$B$16,Data!V26&gt;=Rules!$B$17),"PASS","FAIL"),IF(AND(Data!U26&lt;=Rules!$B$9,Data!V26&gt;=Rules!$B$10),"PASS","FAIL")))</f>
        <v>PASS</v>
      </c>
      <c r="J26" s="3" t="str">
        <f aca="false">IF(AND(ISNUMBER(Data!J26),ISNUMBER(Data!K26)),IF(AND(Data!J26&gt;=Rules!$B$11,Data!K26&gt;=Rules!$B$12),"PASS","FAIL"),"FAIL")</f>
        <v>PASS</v>
      </c>
      <c r="K26" s="3" t="str">
        <f aca="false">IF(AND(ISNUMBER(Data!W26),ISNUMBER(Data!X26)),IF(AND(Data!W26&lt;=Rules!$B$13,Data!X26&lt;=Rules!$B$14),"PASS","FAIL"),"FAIL")</f>
        <v>PASS</v>
      </c>
      <c r="L26" s="4" t="str">
        <f aca="false">IF(F26="FAIL","רווחיות; ","")&amp;IF(G26="FAIL","תזרים; ","")&amp;IF(H26="FAIL","תשואה על ההון; ","")&amp;IF(I26="FAIL","מאזן; ","")&amp;IF(J26="FAIL","צמיחה; ","")&amp;IF(K26="FAIL","דילול; ","")</f>
        <v/>
      </c>
      <c r="M26" s="4" t="s">
        <v>26</v>
      </c>
      <c r="N26" s="5" t="n">
        <f aca="false">IF(M26="EXTREME",Rules!$B$23,IF(M26="HIGH",Rules!$B$22,Rules!$B$21))</f>
        <v>0.03</v>
      </c>
      <c r="O26" s="6" t="n">
        <v>79.2962255960358</v>
      </c>
      <c r="P26" s="4" t="s">
        <v>30</v>
      </c>
      <c r="Q26" s="4" t="s">
        <v>25</v>
      </c>
      <c r="R26" s="4" t="str">
        <f aca="false">IF(Q26="כן",P26,"לא רלוונטי (SMA200 יורד)")</f>
        <v>Q4</v>
      </c>
      <c r="S26" s="4" t="str">
        <f aca="false">IF(NOT(ISNUMBER(T26)),"n/a",IF(AND(T26&gt;Rules!$B$18,ISNUMBER(U26),U26&lt;Rules!$B$19),"יקרה",IF(T26&lt;Rules!$B$20,"זולה","הוגנת")))</f>
        <v>יקרה</v>
      </c>
      <c r="T26" s="7" t="n">
        <f aca="false">Data!AA26</f>
        <v>1.70508635358439</v>
      </c>
      <c r="U26" s="8" t="n">
        <f aca="false">Data!AC26</f>
        <v>0.0154705439764102</v>
      </c>
      <c r="V26" s="9" t="n">
        <v>0.0442</v>
      </c>
      <c r="W26" s="5" t="n">
        <v>-0.4449</v>
      </c>
    </row>
    <row r="27" customFormat="false" ht="15" hidden="false" customHeight="false" outlineLevel="0" collapsed="false">
      <c r="A27" s="2" t="str">
        <f aca="false">Data!A27</f>
        <v>KO</v>
      </c>
      <c r="B27" s="2" t="str">
        <f aca="false">Data!B27</f>
        <v>Coca-Cola Co.</v>
      </c>
      <c r="C27" s="2" t="str">
        <f aca="false">Data!F27</f>
        <v>STD</v>
      </c>
      <c r="D27" s="3" t="str">
        <f aca="false">IF(E27=0,"CORE",IF(E27=1,"WATCH","NON-CORE"))</f>
        <v>CORE</v>
      </c>
      <c r="E27" s="4" t="n">
        <f aca="false">COUNTIF(F27:K27,"FAIL")</f>
        <v>0</v>
      </c>
      <c r="F27" s="3" t="str">
        <f aca="false">IF(C27="FIN",IF(Data!M27=Data!H27,"PASS","FAIL"),IF(AND(ISNUMBER(Data!L27),Data!L27&gt;=Rules!$B$5,IF(Data!H27&lt;5,Data!M27=Data!H27,Data!M27&gt;=Rules!$B$6)),"PASS","FAIL"))</f>
        <v>PASS</v>
      </c>
      <c r="G27" s="3" t="str">
        <f aca="false">IF(C27="FIN","n/a",IF(C27="UTIL/REIT",IF(Data!Q27=Data!H27,"PASS","FAIL"),IF(AND(ISNUMBER(Data!N27),Data!N27&gt;0,IF(Data!H27&lt;5,Data!P27=Data!H27,Data!P27&gt;=Rules!$B$7)),"PASS","FAIL")))</f>
        <v>PASS</v>
      </c>
      <c r="H27" s="3" t="str">
        <f aca="false">IF(C27="FIN",IF(AND(ISNUMBER(Data!S27),Data!S27&gt;=Rules!$B$15),"PASS","FAIL"),IF(AND(ISNUMBER(Data!R27),Data!R27&gt;=Rules!$B$8),"PASS","FAIL"))</f>
        <v>PASS</v>
      </c>
      <c r="I27" s="3" t="str">
        <f aca="false">IF(C27="FIN","n/a",IF(C27="UTIL/REIT",IF(AND(Data!U27&lt;=Rules!$B$16,Data!V27&gt;=Rules!$B$17),"PASS","FAIL"),IF(AND(Data!U27&lt;=Rules!$B$9,Data!V27&gt;=Rules!$B$10),"PASS","FAIL")))</f>
        <v>PASS</v>
      </c>
      <c r="J27" s="3" t="str">
        <f aca="false">IF(AND(ISNUMBER(Data!J27),ISNUMBER(Data!K27)),IF(AND(Data!J27&gt;=Rules!$B$11,Data!K27&gt;=Rules!$B$12),"PASS","FAIL"),"FAIL")</f>
        <v>PASS</v>
      </c>
      <c r="K27" s="3" t="str">
        <f aca="false">IF(AND(ISNUMBER(Data!W27),ISNUMBER(Data!X27)),IF(AND(Data!W27&lt;=Rules!$B$13,Data!X27&lt;=Rules!$B$14),"PASS","FAIL"),"FAIL")</f>
        <v>PASS</v>
      </c>
      <c r="L27" s="4" t="str">
        <f aca="false">IF(F27="FAIL","רווחיות; ","")&amp;IF(G27="FAIL","תזרים; ","")&amp;IF(H27="FAIL","תשואה על ההון; ","")&amp;IF(I27="FAIL","מאזן; ","")&amp;IF(J27="FAIL","צמיחה; ","")&amp;IF(K27="FAIL","דילול; ","")</f>
        <v/>
      </c>
      <c r="M27" s="4" t="s">
        <v>31</v>
      </c>
      <c r="N27" s="5" t="n">
        <f aca="false">IF(M27="EXTREME",Rules!$B$23,IF(M27="HIGH",Rules!$B$22,Rules!$B$21))</f>
        <v>0.1</v>
      </c>
      <c r="O27" s="6" t="n">
        <v>42.1832514769735</v>
      </c>
      <c r="P27" s="4" t="s">
        <v>24</v>
      </c>
      <c r="Q27" s="4" t="s">
        <v>25</v>
      </c>
      <c r="R27" s="4" t="str">
        <f aca="false">IF(Q27="כן",P27,"לא רלוונטי (SMA200 יורד)")</f>
        <v>Q2</v>
      </c>
      <c r="S27" s="4" t="str">
        <f aca="false">IF(NOT(ISNUMBER(T27)),"n/a",IF(AND(T27&gt;Rules!$B$18,ISNUMBER(U27),U27&lt;Rules!$B$19),"יקרה",IF(T27&lt;Rules!$B$20,"זולה","הוגנת")))</f>
        <v>הוגנת</v>
      </c>
      <c r="T27" s="7" t="n">
        <f aca="false">Data!AA27</f>
        <v>1.06972359445858</v>
      </c>
      <c r="U27" s="8" t="n">
        <f aca="false">Data!AC27</f>
        <v>0.0370076175457814</v>
      </c>
      <c r="V27" s="9" t="n">
        <v>0.0154</v>
      </c>
      <c r="W27" s="5" t="n">
        <v>-0.2088</v>
      </c>
    </row>
    <row r="28" customFormat="false" ht="15" hidden="false" customHeight="false" outlineLevel="0" collapsed="false">
      <c r="A28" s="2" t="str">
        <f aca="false">Data!A28</f>
        <v>LLY</v>
      </c>
      <c r="B28" s="2" t="str">
        <f aca="false">Data!B28</f>
        <v>Eli Lilly &amp; Co.</v>
      </c>
      <c r="C28" s="2" t="str">
        <f aca="false">Data!F28</f>
        <v>STD</v>
      </c>
      <c r="D28" s="3" t="str">
        <f aca="false">IF(E28=0,"CORE",IF(E28=1,"WATCH","NON-CORE"))</f>
        <v>CORE</v>
      </c>
      <c r="E28" s="4" t="n">
        <f aca="false">COUNTIF(F28:K28,"FAIL")</f>
        <v>0</v>
      </c>
      <c r="F28" s="3" t="str">
        <f aca="false">IF(C28="FIN",IF(Data!M28=Data!H28,"PASS","FAIL"),IF(AND(ISNUMBER(Data!L28),Data!L28&gt;=Rules!$B$5,IF(Data!H28&lt;5,Data!M28=Data!H28,Data!M28&gt;=Rules!$B$6)),"PASS","FAIL"))</f>
        <v>PASS</v>
      </c>
      <c r="G28" s="3" t="str">
        <f aca="false">IF(C28="FIN","n/a",IF(C28="UTIL/REIT",IF(Data!Q28=Data!H28,"PASS","FAIL"),IF(AND(ISNUMBER(Data!N28),Data!N28&gt;0,IF(Data!H28&lt;5,Data!P28=Data!H28,Data!P28&gt;=Rules!$B$7)),"PASS","FAIL")))</f>
        <v>PASS</v>
      </c>
      <c r="H28" s="3" t="str">
        <f aca="false">IF(C28="FIN",IF(AND(ISNUMBER(Data!S28),Data!S28&gt;=Rules!$B$15),"PASS","FAIL"),IF(AND(ISNUMBER(Data!R28),Data!R28&gt;=Rules!$B$8),"PASS","FAIL"))</f>
        <v>PASS</v>
      </c>
      <c r="I28" s="3" t="str">
        <f aca="false">IF(C28="FIN","n/a",IF(C28="UTIL/REIT",IF(AND(Data!U28&lt;=Rules!$B$16,Data!V28&gt;=Rules!$B$17),"PASS","FAIL"),IF(AND(Data!U28&lt;=Rules!$B$9,Data!V28&gt;=Rules!$B$10),"PASS","FAIL")))</f>
        <v>PASS</v>
      </c>
      <c r="J28" s="3" t="str">
        <f aca="false">IF(AND(ISNUMBER(Data!J28),ISNUMBER(Data!K28)),IF(AND(Data!J28&gt;=Rules!$B$11,Data!K28&gt;=Rules!$B$12),"PASS","FAIL"),"FAIL")</f>
        <v>PASS</v>
      </c>
      <c r="K28" s="3" t="str">
        <f aca="false">IF(AND(ISNUMBER(Data!W28),ISNUMBER(Data!X28)),IF(AND(Data!W28&lt;=Rules!$B$13,Data!X28&lt;=Rules!$B$14),"PASS","FAIL"),"FAIL")</f>
        <v>PASS</v>
      </c>
      <c r="L28" s="4" t="str">
        <f aca="false">IF(F28="FAIL","רווחיות; ","")&amp;IF(G28="FAIL","תזרים; ","")&amp;IF(H28="FAIL","תשואה על ההון; ","")&amp;IF(I28="FAIL","מאזן; ","")&amp;IF(J28="FAIL","צמיחה; ","")&amp;IF(K28="FAIL","דילול; ","")</f>
        <v/>
      </c>
      <c r="M28" s="4" t="s">
        <v>23</v>
      </c>
      <c r="N28" s="5" t="n">
        <f aca="false">IF(M28="EXTREME",Rules!$B$23,IF(M28="HIGH",Rules!$B$22,Rules!$B$21))</f>
        <v>0.06</v>
      </c>
      <c r="O28" s="6" t="n">
        <v>64.9253971834617</v>
      </c>
      <c r="P28" s="4" t="s">
        <v>27</v>
      </c>
      <c r="Q28" s="4" t="s">
        <v>25</v>
      </c>
      <c r="R28" s="4" t="str">
        <f aca="false">IF(Q28="כן",P28,"לא רלוונטי (SMA200 יורד)")</f>
        <v>Q3</v>
      </c>
      <c r="S28" s="4" t="str">
        <f aca="false">IF(NOT(ISNUMBER(T28)),"n/a",IF(AND(T28&gt;Rules!$B$18,ISNUMBER(U28),U28&lt;Rules!$B$19),"יקרה",IF(T28&lt;Rules!$B$20,"זולה","הוגנת")))</f>
        <v>זולה</v>
      </c>
      <c r="T28" s="7" t="n">
        <f aca="false">Data!AA28</f>
        <v>0.705435080973702</v>
      </c>
      <c r="U28" s="8" t="n">
        <f aca="false">Data!AC28</f>
        <v>0.0181074106896123</v>
      </c>
      <c r="V28" s="9" t="n">
        <v>0.0283</v>
      </c>
      <c r="W28" s="5" t="n">
        <v>-0.3477</v>
      </c>
    </row>
    <row r="29" customFormat="false" ht="15" hidden="false" customHeight="false" outlineLevel="0" collapsed="false">
      <c r="A29" s="2" t="str">
        <f aca="false">Data!A29</f>
        <v>LMT</v>
      </c>
      <c r="B29" s="2" t="str">
        <f aca="false">Data!B29</f>
        <v>Lockheed Martin Corp.</v>
      </c>
      <c r="C29" s="2" t="str">
        <f aca="false">Data!F29</f>
        <v>STD</v>
      </c>
      <c r="D29" s="3" t="str">
        <f aca="false">IF(E29=0,"CORE",IF(E29=1,"WATCH","NON-CORE"))</f>
        <v>CORE</v>
      </c>
      <c r="E29" s="4" t="n">
        <f aca="false">COUNTIF(F29:K29,"FAIL")</f>
        <v>0</v>
      </c>
      <c r="F29" s="3" t="str">
        <f aca="false">IF(C29="FIN",IF(Data!M29=Data!H29,"PASS","FAIL"),IF(AND(ISNUMBER(Data!L29),Data!L29&gt;=Rules!$B$5,IF(Data!H29&lt;5,Data!M29=Data!H29,Data!M29&gt;=Rules!$B$6)),"PASS","FAIL"))</f>
        <v>PASS</v>
      </c>
      <c r="G29" s="3" t="str">
        <f aca="false">IF(C29="FIN","n/a",IF(C29="UTIL/REIT",IF(Data!Q29=Data!H29,"PASS","FAIL"),IF(AND(ISNUMBER(Data!N29),Data!N29&gt;0,IF(Data!H29&lt;5,Data!P29=Data!H29,Data!P29&gt;=Rules!$B$7)),"PASS","FAIL")))</f>
        <v>PASS</v>
      </c>
      <c r="H29" s="3" t="str">
        <f aca="false">IF(C29="FIN",IF(AND(ISNUMBER(Data!S29),Data!S29&gt;=Rules!$B$15),"PASS","FAIL"),IF(AND(ISNUMBER(Data!R29),Data!R29&gt;=Rules!$B$8),"PASS","FAIL"))</f>
        <v>PASS</v>
      </c>
      <c r="I29" s="3" t="str">
        <f aca="false">IF(C29="FIN","n/a",IF(C29="UTIL/REIT",IF(AND(Data!U29&lt;=Rules!$B$16,Data!V29&gt;=Rules!$B$17),"PASS","FAIL"),IF(AND(Data!U29&lt;=Rules!$B$9,Data!V29&gt;=Rules!$B$10),"PASS","FAIL")))</f>
        <v>PASS</v>
      </c>
      <c r="J29" s="3" t="str">
        <f aca="false">IF(AND(ISNUMBER(Data!J29),ISNUMBER(Data!K29)),IF(AND(Data!J29&gt;=Rules!$B$11,Data!K29&gt;=Rules!$B$12),"PASS","FAIL"),"FAIL")</f>
        <v>PASS</v>
      </c>
      <c r="K29" s="3" t="str">
        <f aca="false">IF(AND(ISNUMBER(Data!W29),ISNUMBER(Data!X29)),IF(AND(Data!W29&lt;=Rules!$B$13,Data!X29&lt;=Rules!$B$14),"PASS","FAIL"),"FAIL")</f>
        <v>PASS</v>
      </c>
      <c r="L29" s="4" t="str">
        <f aca="false">IF(F29="FAIL","רווחיות; ","")&amp;IF(G29="FAIL","תזרים; ","")&amp;IF(H29="FAIL","תשואה על ההון; ","")&amp;IF(I29="FAIL","מאזן; ","")&amp;IF(J29="FAIL","צמיחה; ","")&amp;IF(K29="FAIL","דילול; ","")</f>
        <v/>
      </c>
      <c r="M29" s="4" t="s">
        <v>29</v>
      </c>
      <c r="N29" s="5" t="n">
        <f aca="false">IF(M29="EXTREME",Rules!$B$23,IF(M29="HIGH",Rules!$B$22,Rules!$B$21))</f>
        <v>0.1</v>
      </c>
      <c r="O29" s="6" t="n">
        <v>91.4945585723574</v>
      </c>
      <c r="P29" s="4" t="s">
        <v>30</v>
      </c>
      <c r="Q29" s="4" t="s">
        <v>25</v>
      </c>
      <c r="R29" s="4" t="str">
        <f aca="false">IF(Q29="כן",P29,"לא רלוונטי (SMA200 יורד)")</f>
        <v>Q4</v>
      </c>
      <c r="S29" s="4" t="str">
        <f aca="false">IF(NOT(ISNUMBER(T29)),"n/a",IF(AND(T29&gt;Rules!$B$18,ISNUMBER(U29),U29&lt;Rules!$B$19),"יקרה",IF(T29&lt;Rules!$B$20,"זולה","הוגנת")))</f>
        <v>הוגנת</v>
      </c>
      <c r="T29" s="7" t="n">
        <f aca="false">Data!AA29</f>
        <v>0.855146596268728</v>
      </c>
      <c r="U29" s="8" t="n">
        <f aca="false">Data!AC29</f>
        <v>0.0748152446532716</v>
      </c>
      <c r="V29" s="9" t="n">
        <v>0.0235</v>
      </c>
      <c r="W29" s="5" t="n">
        <v>-0.3323</v>
      </c>
    </row>
    <row r="30" customFormat="false" ht="15" hidden="false" customHeight="false" outlineLevel="0" collapsed="false">
      <c r="A30" s="2" t="str">
        <f aca="false">Data!A30</f>
        <v>LRCX</v>
      </c>
      <c r="B30" s="2" t="str">
        <f aca="false">Data!B30</f>
        <v>Lam Research Corp.</v>
      </c>
      <c r="C30" s="2" t="str">
        <f aca="false">Data!F30</f>
        <v>STD</v>
      </c>
      <c r="D30" s="3" t="str">
        <f aca="false">IF(E30=0,"CORE",IF(E30=1,"WATCH","NON-CORE"))</f>
        <v>CORE</v>
      </c>
      <c r="E30" s="4" t="n">
        <f aca="false">COUNTIF(F30:K30,"FAIL")</f>
        <v>0</v>
      </c>
      <c r="F30" s="3" t="str">
        <f aca="false">IF(C30="FIN",IF(Data!M30=Data!H30,"PASS","FAIL"),IF(AND(ISNUMBER(Data!L30),Data!L30&gt;=Rules!$B$5,IF(Data!H30&lt;5,Data!M30=Data!H30,Data!M30&gt;=Rules!$B$6)),"PASS","FAIL"))</f>
        <v>PASS</v>
      </c>
      <c r="G30" s="3" t="str">
        <f aca="false">IF(C30="FIN","n/a",IF(C30="UTIL/REIT",IF(Data!Q30=Data!H30,"PASS","FAIL"),IF(AND(ISNUMBER(Data!N30),Data!N30&gt;0,IF(Data!H30&lt;5,Data!P30=Data!H30,Data!P30&gt;=Rules!$B$7)),"PASS","FAIL")))</f>
        <v>PASS</v>
      </c>
      <c r="H30" s="3" t="str">
        <f aca="false">IF(C30="FIN",IF(AND(ISNUMBER(Data!S30),Data!S30&gt;=Rules!$B$15),"PASS","FAIL"),IF(AND(ISNUMBER(Data!R30),Data!R30&gt;=Rules!$B$8),"PASS","FAIL"))</f>
        <v>PASS</v>
      </c>
      <c r="I30" s="3" t="str">
        <f aca="false">IF(C30="FIN","n/a",IF(C30="UTIL/REIT",IF(AND(Data!U30&lt;=Rules!$B$16,Data!V30&gt;=Rules!$B$17),"PASS","FAIL"),IF(AND(Data!U30&lt;=Rules!$B$9,Data!V30&gt;=Rules!$B$10),"PASS","FAIL")))</f>
        <v>PASS</v>
      </c>
      <c r="J30" s="3" t="str">
        <f aca="false">IF(AND(ISNUMBER(Data!J30),ISNUMBER(Data!K30)),IF(AND(Data!J30&gt;=Rules!$B$11,Data!K30&gt;=Rules!$B$12),"PASS","FAIL"),"FAIL")</f>
        <v>PASS</v>
      </c>
      <c r="K30" s="3" t="str">
        <f aca="false">IF(AND(ISNUMBER(Data!W30),ISNUMBER(Data!X30)),IF(AND(Data!W30&lt;=Rules!$B$13,Data!X30&lt;=Rules!$B$14),"PASS","FAIL"),"FAIL")</f>
        <v>PASS</v>
      </c>
      <c r="L30" s="4" t="str">
        <f aca="false">IF(F30="FAIL","רווחיות; ","")&amp;IF(G30="FAIL","תזרים; ","")&amp;IF(H30="FAIL","תשואה על ההון; ","")&amp;IF(I30="FAIL","מאזן; ","")&amp;IF(J30="FAIL","צמיחה; ","")&amp;IF(K30="FAIL","דילול; ","")</f>
        <v/>
      </c>
      <c r="M30" s="4" t="s">
        <v>26</v>
      </c>
      <c r="N30" s="5" t="n">
        <f aca="false">IF(M30="EXTREME",Rules!$B$23,IF(M30="HIGH",Rules!$B$22,Rules!$B$21))</f>
        <v>0.03</v>
      </c>
      <c r="O30" s="6" t="n">
        <v>56.7612653001647</v>
      </c>
      <c r="P30" s="4" t="s">
        <v>27</v>
      </c>
      <c r="Q30" s="4" t="s">
        <v>25</v>
      </c>
      <c r="R30" s="4" t="str">
        <f aca="false">IF(Q30="כן",P30,"לא רלוונטי (SMA200 יורד)")</f>
        <v>Q3</v>
      </c>
      <c r="S30" s="4" t="str">
        <f aca="false">IF(NOT(ISNUMBER(T30)),"n/a",IF(AND(T30&gt;Rules!$B$18,ISNUMBER(U30),U30&lt;Rules!$B$19),"יקרה",IF(T30&lt;Rules!$B$20,"זולה","הוגנת")))</f>
        <v>יקרה</v>
      </c>
      <c r="T30" s="7" t="n">
        <f aca="false">Data!AA30</f>
        <v>2.29039816635457</v>
      </c>
      <c r="U30" s="8" t="n">
        <f aca="false">Data!AC30</f>
        <v>0.0126347657467161</v>
      </c>
      <c r="V30" s="9" t="n">
        <v>0.0477</v>
      </c>
      <c r="W30" s="5" t="n">
        <v>-0.5686</v>
      </c>
    </row>
    <row r="31" customFormat="false" ht="15" hidden="false" customHeight="false" outlineLevel="0" collapsed="false">
      <c r="A31" s="2" t="str">
        <f aca="false">Data!A31</f>
        <v>MA</v>
      </c>
      <c r="B31" s="2" t="str">
        <f aca="false">Data!B31</f>
        <v>Mastercard Inc.</v>
      </c>
      <c r="C31" s="2" t="str">
        <f aca="false">Data!F31</f>
        <v>STD</v>
      </c>
      <c r="D31" s="3" t="str">
        <f aca="false">IF(E31=0,"CORE",IF(E31=1,"WATCH","NON-CORE"))</f>
        <v>CORE</v>
      </c>
      <c r="E31" s="4" t="n">
        <f aca="false">COUNTIF(F31:K31,"FAIL")</f>
        <v>0</v>
      </c>
      <c r="F31" s="3" t="str">
        <f aca="false">IF(C31="FIN",IF(Data!M31=Data!H31,"PASS","FAIL"),IF(AND(ISNUMBER(Data!L31),Data!L31&gt;=Rules!$B$5,IF(Data!H31&lt;5,Data!M31=Data!H31,Data!M31&gt;=Rules!$B$6)),"PASS","FAIL"))</f>
        <v>PASS</v>
      </c>
      <c r="G31" s="3" t="str">
        <f aca="false">IF(C31="FIN","n/a",IF(C31="UTIL/REIT",IF(Data!Q31=Data!H31,"PASS","FAIL"),IF(AND(ISNUMBER(Data!N31),Data!N31&gt;0,IF(Data!H31&lt;5,Data!P31=Data!H31,Data!P31&gt;=Rules!$B$7)),"PASS","FAIL")))</f>
        <v>PASS</v>
      </c>
      <c r="H31" s="3" t="str">
        <f aca="false">IF(C31="FIN",IF(AND(ISNUMBER(Data!S31),Data!S31&gt;=Rules!$B$15),"PASS","FAIL"),IF(AND(ISNUMBER(Data!R31),Data!R31&gt;=Rules!$B$8),"PASS","FAIL"))</f>
        <v>PASS</v>
      </c>
      <c r="I31" s="3" t="str">
        <f aca="false">IF(C31="FIN","n/a",IF(C31="UTIL/REIT",IF(AND(Data!U31&lt;=Rules!$B$16,Data!V31&gt;=Rules!$B$17),"PASS","FAIL"),IF(AND(Data!U31&lt;=Rules!$B$9,Data!V31&gt;=Rules!$B$10),"PASS","FAIL")))</f>
        <v>PASS</v>
      </c>
      <c r="J31" s="3" t="str">
        <f aca="false">IF(AND(ISNUMBER(Data!J31),ISNUMBER(Data!K31)),IF(AND(Data!J31&gt;=Rules!$B$11,Data!K31&gt;=Rules!$B$12),"PASS","FAIL"),"FAIL")</f>
        <v>PASS</v>
      </c>
      <c r="K31" s="3" t="str">
        <f aca="false">IF(AND(ISNUMBER(Data!W31),ISNUMBER(Data!X31)),IF(AND(Data!W31&lt;=Rules!$B$13,Data!X31&lt;=Rules!$B$14),"PASS","FAIL"),"FAIL")</f>
        <v>PASS</v>
      </c>
      <c r="L31" s="4" t="str">
        <f aca="false">IF(F31="FAIL","רווחיות; ","")&amp;IF(G31="FAIL","תזרים; ","")&amp;IF(H31="FAIL","תשואה על ההון; ","")&amp;IF(I31="FAIL","מאזן; ","")&amp;IF(J31="FAIL","צמיחה; ","")&amp;IF(K31="FAIL","דילול; ","")</f>
        <v/>
      </c>
      <c r="M31" s="4" t="s">
        <v>29</v>
      </c>
      <c r="N31" s="5" t="n">
        <f aca="false">IF(M31="EXTREME",Rules!$B$23,IF(M31="HIGH",Rules!$B$22,Rules!$B$21))</f>
        <v>0.1</v>
      </c>
      <c r="O31" s="6" t="n">
        <v>66.4593471045084</v>
      </c>
      <c r="P31" s="4" t="s">
        <v>27</v>
      </c>
      <c r="Q31" s="4" t="s">
        <v>25</v>
      </c>
      <c r="R31" s="4" t="str">
        <f aca="false">IF(Q31="כן",P31,"לא רלוונטי (SMA200 יורד)")</f>
        <v>Q3</v>
      </c>
      <c r="S31" s="4" t="str">
        <f aca="false">IF(NOT(ISNUMBER(T31)),"n/a",IF(AND(T31&gt;Rules!$B$18,ISNUMBER(U31),U31&lt;Rules!$B$19),"יקרה",IF(T31&lt;Rules!$B$20,"זולה","הוגנת")))</f>
        <v>הוגנת</v>
      </c>
      <c r="T31" s="7" t="n">
        <f aca="false">Data!AA31</f>
        <v>0.918114830853704</v>
      </c>
      <c r="U31" s="8" t="n">
        <f aca="false">Data!AC31</f>
        <v>0.0309329385705143</v>
      </c>
      <c r="V31" s="9" t="n">
        <v>0.0167</v>
      </c>
      <c r="W31" s="5" t="n">
        <v>-0.2862</v>
      </c>
    </row>
    <row r="32" customFormat="false" ht="15" hidden="false" customHeight="false" outlineLevel="0" collapsed="false">
      <c r="A32" s="2" t="str">
        <f aca="false">Data!A32</f>
        <v>META</v>
      </c>
      <c r="B32" s="2" t="str">
        <f aca="false">Data!B32</f>
        <v>Meta Platforms Inc.</v>
      </c>
      <c r="C32" s="2" t="str">
        <f aca="false">Data!F32</f>
        <v>STD</v>
      </c>
      <c r="D32" s="3" t="str">
        <f aca="false">IF(E32=0,"CORE",IF(E32=1,"WATCH","NON-CORE"))</f>
        <v>CORE</v>
      </c>
      <c r="E32" s="4" t="n">
        <f aca="false">COUNTIF(F32:K32,"FAIL")</f>
        <v>0</v>
      </c>
      <c r="F32" s="3" t="str">
        <f aca="false">IF(C32="FIN",IF(Data!M32=Data!H32,"PASS","FAIL"),IF(AND(ISNUMBER(Data!L32),Data!L32&gt;=Rules!$B$5,IF(Data!H32&lt;5,Data!M32=Data!H32,Data!M32&gt;=Rules!$B$6)),"PASS","FAIL"))</f>
        <v>PASS</v>
      </c>
      <c r="G32" s="3" t="str">
        <f aca="false">IF(C32="FIN","n/a",IF(C32="UTIL/REIT",IF(Data!Q32=Data!H32,"PASS","FAIL"),IF(AND(ISNUMBER(Data!N32),Data!N32&gt;0,IF(Data!H32&lt;5,Data!P32=Data!H32,Data!P32&gt;=Rules!$B$7)),"PASS","FAIL")))</f>
        <v>PASS</v>
      </c>
      <c r="H32" s="3" t="str">
        <f aca="false">IF(C32="FIN",IF(AND(ISNUMBER(Data!S32),Data!S32&gt;=Rules!$B$15),"PASS","FAIL"),IF(AND(ISNUMBER(Data!R32),Data!R32&gt;=Rules!$B$8),"PASS","FAIL"))</f>
        <v>PASS</v>
      </c>
      <c r="I32" s="3" t="str">
        <f aca="false">IF(C32="FIN","n/a",IF(C32="UTIL/REIT",IF(AND(Data!U32&lt;=Rules!$B$16,Data!V32&gt;=Rules!$B$17),"PASS","FAIL"),IF(AND(Data!U32&lt;=Rules!$B$9,Data!V32&gt;=Rules!$B$10),"PASS","FAIL")))</f>
        <v>PASS</v>
      </c>
      <c r="J32" s="3" t="str">
        <f aca="false">IF(AND(ISNUMBER(Data!J32),ISNUMBER(Data!K32)),IF(AND(Data!J32&gt;=Rules!$B$11,Data!K32&gt;=Rules!$B$12),"PASS","FAIL"),"FAIL")</f>
        <v>PASS</v>
      </c>
      <c r="K32" s="3" t="str">
        <f aca="false">IF(AND(ISNUMBER(Data!W32),ISNUMBER(Data!X32)),IF(AND(Data!W32&lt;=Rules!$B$13,Data!X32&lt;=Rules!$B$14),"PASS","FAIL"),"FAIL")</f>
        <v>PASS</v>
      </c>
      <c r="L32" s="4" t="str">
        <f aca="false">IF(F32="FAIL","רווחיות; ","")&amp;IF(G32="FAIL","תזרים; ","")&amp;IF(H32="FAIL","תשואה על ההון; ","")&amp;IF(I32="FAIL","מאזן; ","")&amp;IF(J32="FAIL","צמיחה; ","")&amp;IF(K32="FAIL","דילול; ","")</f>
        <v/>
      </c>
      <c r="M32" s="4" t="s">
        <v>26</v>
      </c>
      <c r="N32" s="5" t="n">
        <f aca="false">IF(M32="EXTREME",Rules!$B$23,IF(M32="HIGH",Rules!$B$22,Rules!$B$21))</f>
        <v>0.03</v>
      </c>
      <c r="O32" s="6" t="n">
        <v>46.3666314709958</v>
      </c>
      <c r="P32" s="4" t="s">
        <v>24</v>
      </c>
      <c r="Q32" s="4" t="s">
        <v>25</v>
      </c>
      <c r="R32" s="4" t="str">
        <f aca="false">IF(Q32="כן",P32,"לא רלוונטי (SMA200 יורד)")</f>
        <v>Q2</v>
      </c>
      <c r="S32" s="4" t="str">
        <f aca="false">IF(NOT(ISNUMBER(T32)),"n/a",IF(AND(T32&gt;Rules!$B$18,ISNUMBER(U32),U32&lt;Rules!$B$19),"יקרה",IF(T32&lt;Rules!$B$20,"זולה","הוגנת")))</f>
        <v>הוגנת</v>
      </c>
      <c r="T32" s="7" t="n">
        <f aca="false">Data!AA32</f>
        <v>1.2005831135308</v>
      </c>
      <c r="U32" s="8" t="n">
        <f aca="false">Data!AC32</f>
        <v>0.0209502566613944</v>
      </c>
      <c r="V32" s="9" t="n">
        <v>0.0336</v>
      </c>
      <c r="W32" s="5" t="n">
        <v>-0.7443</v>
      </c>
    </row>
    <row r="33" customFormat="false" ht="15" hidden="false" customHeight="false" outlineLevel="0" collapsed="false">
      <c r="A33" s="2" t="str">
        <f aca="false">Data!A33</f>
        <v>MRK</v>
      </c>
      <c r="B33" s="2" t="str">
        <f aca="false">Data!B33</f>
        <v>Merck &amp; Co. Inc.</v>
      </c>
      <c r="C33" s="2" t="str">
        <f aca="false">Data!F33</f>
        <v>STD</v>
      </c>
      <c r="D33" s="3" t="str">
        <f aca="false">IF(E33=0,"CORE",IF(E33=1,"WATCH","NON-CORE"))</f>
        <v>CORE</v>
      </c>
      <c r="E33" s="4" t="n">
        <f aca="false">COUNTIF(F33:K33,"FAIL")</f>
        <v>0</v>
      </c>
      <c r="F33" s="3" t="str">
        <f aca="false">IF(C33="FIN",IF(Data!M33=Data!H33,"PASS","FAIL"),IF(AND(ISNUMBER(Data!L33),Data!L33&gt;=Rules!$B$5,IF(Data!H33&lt;5,Data!M33=Data!H33,Data!M33&gt;=Rules!$B$6)),"PASS","FAIL"))</f>
        <v>PASS</v>
      </c>
      <c r="G33" s="3" t="str">
        <f aca="false">IF(C33="FIN","n/a",IF(C33="UTIL/REIT",IF(Data!Q33=Data!H33,"PASS","FAIL"),IF(AND(ISNUMBER(Data!N33),Data!N33&gt;0,IF(Data!H33&lt;5,Data!P33=Data!H33,Data!P33&gt;=Rules!$B$7)),"PASS","FAIL")))</f>
        <v>PASS</v>
      </c>
      <c r="H33" s="3" t="str">
        <f aca="false">IF(C33="FIN",IF(AND(ISNUMBER(Data!S33),Data!S33&gt;=Rules!$B$15),"PASS","FAIL"),IF(AND(ISNUMBER(Data!R33),Data!R33&gt;=Rules!$B$8),"PASS","FAIL"))</f>
        <v>PASS</v>
      </c>
      <c r="I33" s="3" t="str">
        <f aca="false">IF(C33="FIN","n/a",IF(C33="UTIL/REIT",IF(AND(Data!U33&lt;=Rules!$B$16,Data!V33&gt;=Rules!$B$17),"PASS","FAIL"),IF(AND(Data!U33&lt;=Rules!$B$9,Data!V33&gt;=Rules!$B$10),"PASS","FAIL")))</f>
        <v>PASS</v>
      </c>
      <c r="J33" s="3" t="str">
        <f aca="false">IF(AND(ISNUMBER(Data!J33),ISNUMBER(Data!K33)),IF(AND(Data!J33&gt;=Rules!$B$11,Data!K33&gt;=Rules!$B$12),"PASS","FAIL"),"FAIL")</f>
        <v>PASS</v>
      </c>
      <c r="K33" s="3" t="str">
        <f aca="false">IF(AND(ISNUMBER(Data!W33),ISNUMBER(Data!X33)),IF(AND(Data!W33&lt;=Rules!$B$13,Data!X33&lt;=Rules!$B$14),"PASS","FAIL"),"FAIL")</f>
        <v>PASS</v>
      </c>
      <c r="L33" s="4" t="str">
        <f aca="false">IF(F33="FAIL","רווחיות; ","")&amp;IF(G33="FAIL","תזרים; ","")&amp;IF(H33="FAIL","תשואה על ההון; ","")&amp;IF(I33="FAIL","מאזן; ","")&amp;IF(J33="FAIL","צמיחה; ","")&amp;IF(K33="FAIL","דילול; ","")</f>
        <v/>
      </c>
      <c r="M33" s="4" t="s">
        <v>29</v>
      </c>
      <c r="N33" s="5" t="n">
        <f aca="false">IF(M33="EXTREME",Rules!$B$23,IF(M33="HIGH",Rules!$B$22,Rules!$B$21))</f>
        <v>0.1</v>
      </c>
      <c r="O33" s="6" t="n">
        <v>31.8633453832695</v>
      </c>
      <c r="P33" s="4" t="s">
        <v>24</v>
      </c>
      <c r="Q33" s="4" t="s">
        <v>25</v>
      </c>
      <c r="R33" s="4" t="str">
        <f aca="false">IF(Q33="כן",P33,"לא רלוונטי (SMA200 יורד)")</f>
        <v>Q2</v>
      </c>
      <c r="S33" s="4" t="str">
        <f aca="false">IF(NOT(ISNUMBER(T33)),"n/a",IF(AND(T33&gt;Rules!$B$18,ISNUMBER(U33),U33&lt;Rules!$B$19),"יקרה",IF(T33&lt;Rules!$B$20,"זולה","הוגנת")))</f>
        <v>הוגנת</v>
      </c>
      <c r="T33" s="7" t="n">
        <f aca="false">Data!AA33</f>
        <v>7.67135773933791</v>
      </c>
      <c r="U33" s="8" t="n">
        <f aca="false">Data!AC33</f>
        <v>0.0451615361514982</v>
      </c>
      <c r="V33" s="9" t="n">
        <v>0.0242</v>
      </c>
      <c r="W33" s="5" t="n">
        <v>-0.4472</v>
      </c>
    </row>
    <row r="34" customFormat="false" ht="15" hidden="false" customHeight="false" outlineLevel="0" collapsed="false">
      <c r="A34" s="2" t="str">
        <f aca="false">Data!A34</f>
        <v>MRSH</v>
      </c>
      <c r="B34" s="2" t="str">
        <f aca="false">Data!B34</f>
        <v>Marsh &amp; McLennan Cos. Inc.</v>
      </c>
      <c r="C34" s="2" t="str">
        <f aca="false">Data!F34</f>
        <v>STD</v>
      </c>
      <c r="D34" s="3" t="str">
        <f aca="false">IF(E34=0,"CORE",IF(E34=1,"WATCH","NON-CORE"))</f>
        <v>CORE</v>
      </c>
      <c r="E34" s="4" t="n">
        <f aca="false">COUNTIF(F34:K34,"FAIL")</f>
        <v>0</v>
      </c>
      <c r="F34" s="3" t="str">
        <f aca="false">IF(C34="FIN",IF(Data!M34=Data!H34,"PASS","FAIL"),IF(AND(ISNUMBER(Data!L34),Data!L34&gt;=Rules!$B$5,IF(Data!H34&lt;5,Data!M34=Data!H34,Data!M34&gt;=Rules!$B$6)),"PASS","FAIL"))</f>
        <v>PASS</v>
      </c>
      <c r="G34" s="3" t="str">
        <f aca="false">IF(C34="FIN","n/a",IF(C34="UTIL/REIT",IF(Data!Q34=Data!H34,"PASS","FAIL"),IF(AND(ISNUMBER(Data!N34),Data!N34&gt;0,IF(Data!H34&lt;5,Data!P34=Data!H34,Data!P34&gt;=Rules!$B$7)),"PASS","FAIL")))</f>
        <v>PASS</v>
      </c>
      <c r="H34" s="3" t="str">
        <f aca="false">IF(C34="FIN",IF(AND(ISNUMBER(Data!S34),Data!S34&gt;=Rules!$B$15),"PASS","FAIL"),IF(AND(ISNUMBER(Data!R34),Data!R34&gt;=Rules!$B$8),"PASS","FAIL"))</f>
        <v>PASS</v>
      </c>
      <c r="I34" s="3" t="str">
        <f aca="false">IF(C34="FIN","n/a",IF(C34="UTIL/REIT",IF(AND(Data!U34&lt;=Rules!$B$16,Data!V34&gt;=Rules!$B$17),"PASS","FAIL"),IF(AND(Data!U34&lt;=Rules!$B$9,Data!V34&gt;=Rules!$B$10),"PASS","FAIL")))</f>
        <v>PASS</v>
      </c>
      <c r="J34" s="3" t="str">
        <f aca="false">IF(AND(ISNUMBER(Data!J34),ISNUMBER(Data!K34)),IF(AND(Data!J34&gt;=Rules!$B$11,Data!K34&gt;=Rules!$B$12),"PASS","FAIL"),"FAIL")</f>
        <v>PASS</v>
      </c>
      <c r="K34" s="3" t="str">
        <f aca="false">IF(AND(ISNUMBER(Data!W34),ISNUMBER(Data!X34)),IF(AND(Data!W34&lt;=Rules!$B$13,Data!X34&lt;=Rules!$B$14),"PASS","FAIL"),"FAIL")</f>
        <v>PASS</v>
      </c>
      <c r="L34" s="4" t="str">
        <f aca="false">IF(F34="FAIL","רווחיות; ","")&amp;IF(G34="FAIL","תזרים; ","")&amp;IF(H34="FAIL","תשואה על ההון; ","")&amp;IF(I34="FAIL","מאזן; ","")&amp;IF(J34="FAIL","צמיחה; ","")&amp;IF(K34="FAIL","דילול; ","")</f>
        <v/>
      </c>
      <c r="M34" s="4" t="s">
        <v>29</v>
      </c>
      <c r="N34" s="5" t="n">
        <f aca="false">IF(M34="EXTREME",Rules!$B$23,IF(M34="HIGH",Rules!$B$22,Rules!$B$21))</f>
        <v>0.1</v>
      </c>
      <c r="O34" s="6" t="n">
        <v>74.4909483474506</v>
      </c>
      <c r="P34" s="4" t="s">
        <v>27</v>
      </c>
      <c r="Q34" s="4" t="s">
        <v>28</v>
      </c>
      <c r="R34" s="4" t="str">
        <f aca="false">IF(Q34="כן",P34,"לא רלוונטי (SMA200 יורד)")</f>
        <v>לא רלוונטי (SMA200 יורד)</v>
      </c>
      <c r="S34" s="4" t="str">
        <f aca="false">IF(NOT(ISNUMBER(T34)),"n/a",IF(AND(T34&gt;Rules!$B$18,ISNUMBER(U34),U34&lt;Rules!$B$19),"יקרה",IF(T34&lt;Rules!$B$20,"זולה","הוגנת")))</f>
        <v>הוגנת</v>
      </c>
      <c r="T34" s="7" t="n">
        <f aca="false">Data!AA34</f>
        <v>0.835816484803681</v>
      </c>
      <c r="U34" s="8" t="n">
        <f aca="false">Data!AC34</f>
        <v>0.0565404632147492</v>
      </c>
      <c r="V34" s="9" t="n">
        <v>0.0199</v>
      </c>
      <c r="W34" s="5" t="n">
        <v>-0.3557</v>
      </c>
    </row>
    <row r="35" customFormat="false" ht="15" hidden="false" customHeight="false" outlineLevel="0" collapsed="false">
      <c r="A35" s="2" t="str">
        <f aca="false">Data!A35</f>
        <v>MS</v>
      </c>
      <c r="B35" s="2" t="str">
        <f aca="false">Data!B35</f>
        <v>Morgan Stanley Co.</v>
      </c>
      <c r="C35" s="2" t="str">
        <f aca="false">Data!F35</f>
        <v>FIN</v>
      </c>
      <c r="D35" s="3" t="str">
        <f aca="false">IF(E35=0,"CORE",IF(E35=1,"WATCH","NON-CORE"))</f>
        <v>CORE</v>
      </c>
      <c r="E35" s="4" t="n">
        <f aca="false">COUNTIF(F35:K35,"FAIL")</f>
        <v>0</v>
      </c>
      <c r="F35" s="3" t="str">
        <f aca="false">IF(C35="FIN",IF(Data!M35=Data!H35,"PASS","FAIL"),IF(AND(ISNUMBER(Data!L35),Data!L35&gt;=Rules!$B$5,IF(Data!H35&lt;5,Data!M35=Data!H35,Data!M35&gt;=Rules!$B$6)),"PASS","FAIL"))</f>
        <v>PASS</v>
      </c>
      <c r="G35" s="3" t="str">
        <f aca="false">IF(C35="FIN","n/a",IF(C35="UTIL/REIT",IF(Data!Q35=Data!H35,"PASS","FAIL"),IF(AND(ISNUMBER(Data!N35),Data!N35&gt;0,IF(Data!H35&lt;5,Data!P35=Data!H35,Data!P35&gt;=Rules!$B$7)),"PASS","FAIL")))</f>
        <v>n/a</v>
      </c>
      <c r="H35" s="3" t="str">
        <f aca="false">IF(C35="FIN",IF(AND(ISNUMBER(Data!S35),Data!S35&gt;=Rules!$B$15),"PASS","FAIL"),IF(AND(ISNUMBER(Data!R35),Data!R35&gt;=Rules!$B$8),"PASS","FAIL"))</f>
        <v>PASS</v>
      </c>
      <c r="I35" s="3" t="str">
        <f aca="false">IF(C35="FIN","n/a",IF(C35="UTIL/REIT",IF(AND(Data!U35&lt;=Rules!$B$16,Data!V35&gt;=Rules!$B$17),"PASS","FAIL"),IF(AND(Data!U35&lt;=Rules!$B$9,Data!V35&gt;=Rules!$B$10),"PASS","FAIL")))</f>
        <v>n/a</v>
      </c>
      <c r="J35" s="3" t="str">
        <f aca="false">IF(AND(ISNUMBER(Data!J35),ISNUMBER(Data!K35)),IF(AND(Data!J35&gt;=Rules!$B$11,Data!K35&gt;=Rules!$B$12),"PASS","FAIL"),"FAIL")</f>
        <v>PASS</v>
      </c>
      <c r="K35" s="3" t="str">
        <f aca="false">IF(AND(ISNUMBER(Data!W35),ISNUMBER(Data!X35)),IF(AND(Data!W35&lt;=Rules!$B$13,Data!X35&lt;=Rules!$B$14),"PASS","FAIL"),"FAIL")</f>
        <v>PASS</v>
      </c>
      <c r="L35" s="4" t="str">
        <f aca="false">IF(F35="FAIL","רווחיות; ","")&amp;IF(G35="FAIL","תזרים; ","")&amp;IF(H35="FAIL","תשואה על ההון; ","")&amp;IF(I35="FAIL","מאזן; ","")&amp;IF(J35="FAIL","צמיחה; ","")&amp;IF(K35="FAIL","דילול; ","")</f>
        <v/>
      </c>
      <c r="M35" s="4" t="s">
        <v>29</v>
      </c>
      <c r="N35" s="5" t="n">
        <f aca="false">IF(M35="EXTREME",Rules!$B$23,IF(M35="HIGH",Rules!$B$22,Rules!$B$21))</f>
        <v>0.1</v>
      </c>
      <c r="O35" s="6" t="n">
        <v>84.2082964473856</v>
      </c>
      <c r="P35" s="4" t="s">
        <v>30</v>
      </c>
      <c r="Q35" s="4" t="s">
        <v>25</v>
      </c>
      <c r="R35" s="4" t="str">
        <f aca="false">IF(Q35="כן",P35,"לא רלוונטי (SMA200 יורד)")</f>
        <v>Q4</v>
      </c>
      <c r="S35" s="4" t="str">
        <f aca="false">IF(NOT(ISNUMBER(T35)),"n/a",IF(AND(T35&gt;Rules!$B$18,ISNUMBER(U35),U35&lt;Rules!$B$19),"יקרה",IF(T35&lt;Rules!$B$20,"זולה","הוגנת")))</f>
        <v>הוגנת</v>
      </c>
      <c r="T35" s="7" t="n">
        <f aca="false">Data!AA35</f>
        <v>0.968630847092452</v>
      </c>
      <c r="U35" s="8" t="n">
        <f aca="false">Data!AC35</f>
        <v>-0.052774124550358</v>
      </c>
      <c r="V35" s="9" t="n">
        <v>0.0244</v>
      </c>
      <c r="W35" s="5" t="n">
        <v>-0.3526</v>
      </c>
    </row>
    <row r="36" customFormat="false" ht="15" hidden="false" customHeight="false" outlineLevel="0" collapsed="false">
      <c r="A36" s="2" t="str">
        <f aca="false">Data!A36</f>
        <v>MSFT</v>
      </c>
      <c r="B36" s="2" t="str">
        <f aca="false">Data!B36</f>
        <v>Microsoft Corp.</v>
      </c>
      <c r="C36" s="2" t="str">
        <f aca="false">Data!F36</f>
        <v>STD</v>
      </c>
      <c r="D36" s="3" t="str">
        <f aca="false">IF(E36=0,"CORE",IF(E36=1,"WATCH","NON-CORE"))</f>
        <v>CORE</v>
      </c>
      <c r="E36" s="4" t="n">
        <f aca="false">COUNTIF(F36:K36,"FAIL")</f>
        <v>0</v>
      </c>
      <c r="F36" s="3" t="str">
        <f aca="false">IF(C36="FIN",IF(Data!M36=Data!H36,"PASS","FAIL"),IF(AND(ISNUMBER(Data!L36),Data!L36&gt;=Rules!$B$5,IF(Data!H36&lt;5,Data!M36=Data!H36,Data!M36&gt;=Rules!$B$6)),"PASS","FAIL"))</f>
        <v>PASS</v>
      </c>
      <c r="G36" s="3" t="str">
        <f aca="false">IF(C36="FIN","n/a",IF(C36="UTIL/REIT",IF(Data!Q36=Data!H36,"PASS","FAIL"),IF(AND(ISNUMBER(Data!N36),Data!N36&gt;0,IF(Data!H36&lt;5,Data!P36=Data!H36,Data!P36&gt;=Rules!$B$7)),"PASS","FAIL")))</f>
        <v>PASS</v>
      </c>
      <c r="H36" s="3" t="str">
        <f aca="false">IF(C36="FIN",IF(AND(ISNUMBER(Data!S36),Data!S36&gt;=Rules!$B$15),"PASS","FAIL"),IF(AND(ISNUMBER(Data!R36),Data!R36&gt;=Rules!$B$8),"PASS","FAIL"))</f>
        <v>PASS</v>
      </c>
      <c r="I36" s="3" t="str">
        <f aca="false">IF(C36="FIN","n/a",IF(C36="UTIL/REIT",IF(AND(Data!U36&lt;=Rules!$B$16,Data!V36&gt;=Rules!$B$17),"PASS","FAIL"),IF(AND(Data!U36&lt;=Rules!$B$9,Data!V36&gt;=Rules!$B$10),"PASS","FAIL")))</f>
        <v>PASS</v>
      </c>
      <c r="J36" s="3" t="str">
        <f aca="false">IF(AND(ISNUMBER(Data!J36),ISNUMBER(Data!K36)),IF(AND(Data!J36&gt;=Rules!$B$11,Data!K36&gt;=Rules!$B$12),"PASS","FAIL"),"FAIL")</f>
        <v>PASS</v>
      </c>
      <c r="K36" s="3" t="str">
        <f aca="false">IF(AND(ISNUMBER(Data!W36),ISNUMBER(Data!X36)),IF(AND(Data!W36&lt;=Rules!$B$13,Data!X36&lt;=Rules!$B$14),"PASS","FAIL"),"FAIL")</f>
        <v>PASS</v>
      </c>
      <c r="L36" s="4" t="str">
        <f aca="false">IF(F36="FAIL","רווחיות; ","")&amp;IF(G36="FAIL","תזרים; ","")&amp;IF(H36="FAIL","תשואה על ההון; ","")&amp;IF(I36="FAIL","מאזן; ","")&amp;IF(J36="FAIL","צמיחה; ","")&amp;IF(K36="FAIL","דילול; ","")</f>
        <v/>
      </c>
      <c r="M36" s="4" t="s">
        <v>29</v>
      </c>
      <c r="N36" s="5" t="n">
        <f aca="false">IF(M36="EXTREME",Rules!$B$23,IF(M36="HIGH",Rules!$B$22,Rules!$B$21))</f>
        <v>0.1</v>
      </c>
      <c r="O36" s="6" t="n">
        <v>23.7946114606456</v>
      </c>
      <c r="P36" s="4" t="s">
        <v>32</v>
      </c>
      <c r="Q36" s="4" t="s">
        <v>25</v>
      </c>
      <c r="R36" s="4" t="str">
        <f aca="false">IF(Q36="כן",P36,"לא רלוונטי (SMA200 יורד)")</f>
        <v>Q1</v>
      </c>
      <c r="S36" s="4" t="str">
        <f aca="false">IF(NOT(ISNUMBER(T36)),"n/a",IF(AND(T36&gt;Rules!$B$18,ISNUMBER(U36),U36&lt;Rules!$B$19),"יקרה",IF(T36&lt;Rules!$B$20,"זולה","הוגנת")))</f>
        <v>הוגנת</v>
      </c>
      <c r="T36" s="7" t="n">
        <f aca="false">Data!AA36</f>
        <v>0.858110647794679</v>
      </c>
      <c r="U36" s="8" t="n">
        <f aca="false">Data!AC36</f>
        <v>0.0166703316058185</v>
      </c>
      <c r="V36" s="9" t="n">
        <v>0.0231</v>
      </c>
      <c r="W36" s="5" t="n">
        <v>-0.3755</v>
      </c>
    </row>
    <row r="37" customFormat="false" ht="15" hidden="false" customHeight="false" outlineLevel="0" collapsed="false">
      <c r="A37" s="2" t="str">
        <f aca="false">Data!A37</f>
        <v>MU</v>
      </c>
      <c r="B37" s="2" t="str">
        <f aca="false">Data!B37</f>
        <v>Micron Technology Inc.</v>
      </c>
      <c r="C37" s="2" t="str">
        <f aca="false">Data!F37</f>
        <v>STD</v>
      </c>
      <c r="D37" s="3" t="str">
        <f aca="false">IF(E37=0,"CORE",IF(E37=1,"WATCH","NON-CORE"))</f>
        <v>CORE</v>
      </c>
      <c r="E37" s="4" t="n">
        <f aca="false">COUNTIF(F37:K37,"FAIL")</f>
        <v>0</v>
      </c>
      <c r="F37" s="3" t="str">
        <f aca="false">IF(C37="FIN",IF(Data!M37=Data!H37,"PASS","FAIL"),IF(AND(ISNUMBER(Data!L37),Data!L37&gt;=Rules!$B$5,IF(Data!H37&lt;5,Data!M37=Data!H37,Data!M37&gt;=Rules!$B$6)),"PASS","FAIL"))</f>
        <v>PASS</v>
      </c>
      <c r="G37" s="3" t="str">
        <f aca="false">IF(C37="FIN","n/a",IF(C37="UTIL/REIT",IF(Data!Q37=Data!H37,"PASS","FAIL"),IF(AND(ISNUMBER(Data!N37),Data!N37&gt;0,IF(Data!H37&lt;5,Data!P37=Data!H37,Data!P37&gt;=Rules!$B$7)),"PASS","FAIL")))</f>
        <v>PASS</v>
      </c>
      <c r="H37" s="3" t="str">
        <f aca="false">IF(C37="FIN",IF(AND(ISNUMBER(Data!S37),Data!S37&gt;=Rules!$B$15),"PASS","FAIL"),IF(AND(ISNUMBER(Data!R37),Data!R37&gt;=Rules!$B$8),"PASS","FAIL"))</f>
        <v>PASS</v>
      </c>
      <c r="I37" s="3" t="str">
        <f aca="false">IF(C37="FIN","n/a",IF(C37="UTIL/REIT",IF(AND(Data!U37&lt;=Rules!$B$16,Data!V37&gt;=Rules!$B$17),"PASS","FAIL"),IF(AND(Data!U37&lt;=Rules!$B$9,Data!V37&gt;=Rules!$B$10),"PASS","FAIL")))</f>
        <v>PASS</v>
      </c>
      <c r="J37" s="3" t="str">
        <f aca="false">IF(AND(ISNUMBER(Data!J37),ISNUMBER(Data!K37)),IF(AND(Data!J37&gt;=Rules!$B$11,Data!K37&gt;=Rules!$B$12),"PASS","FAIL"),"FAIL")</f>
        <v>PASS</v>
      </c>
      <c r="K37" s="3" t="str">
        <f aca="false">IF(AND(ISNUMBER(Data!W37),ISNUMBER(Data!X37)),IF(AND(Data!W37&lt;=Rules!$B$13,Data!X37&lt;=Rules!$B$14),"PASS","FAIL"),"FAIL")</f>
        <v>PASS</v>
      </c>
      <c r="L37" s="4" t="str">
        <f aca="false">IF(F37="FAIL","רווחיות; ","")&amp;IF(G37="FAIL","תזרים; ","")&amp;IF(H37="FAIL","תשואה על ההון; ","")&amp;IF(I37="FAIL","מאזן; ","")&amp;IF(J37="FAIL","צמיחה; ","")&amp;IF(K37="FAIL","דילול; ","")</f>
        <v/>
      </c>
      <c r="M37" s="4" t="s">
        <v>26</v>
      </c>
      <c r="N37" s="5" t="n">
        <f aca="false">IF(M37="EXTREME",Rules!$B$23,IF(M37="HIGH",Rules!$B$22,Rules!$B$21))</f>
        <v>0.03</v>
      </c>
      <c r="O37" s="6" t="n">
        <v>34.3172956076182</v>
      </c>
      <c r="P37" s="4" t="s">
        <v>24</v>
      </c>
      <c r="Q37" s="4" t="s">
        <v>25</v>
      </c>
      <c r="R37" s="4" t="str">
        <f aca="false">IF(Q37="כן",P37,"לא רלוונטי (SMA200 יורד)")</f>
        <v>Q2</v>
      </c>
      <c r="S37" s="4" t="str">
        <f aca="false">IF(NOT(ISNUMBER(T37)),"n/a",IF(AND(T37&gt;Rules!$B$18,ISNUMBER(U37),U37&lt;Rules!$B$19),"יקרה",IF(T37&lt;Rules!$B$20,"זולה","הוגנת")))</f>
        <v>הוגנת</v>
      </c>
      <c r="T37" s="7" t="n">
        <f aca="false">Data!AA37</f>
        <v>0.876035127665104</v>
      </c>
      <c r="U37" s="8" t="n">
        <f aca="false">Data!AC37</f>
        <v>0.0494156472733715</v>
      </c>
      <c r="V37" s="9" t="n">
        <v>0.053</v>
      </c>
      <c r="W37" s="5" t="n">
        <v>-0.5783</v>
      </c>
    </row>
    <row r="38" customFormat="false" ht="15" hidden="false" customHeight="false" outlineLevel="0" collapsed="false">
      <c r="A38" s="2" t="str">
        <f aca="false">Data!A38</f>
        <v>NFLX</v>
      </c>
      <c r="B38" s="2" t="str">
        <f aca="false">Data!B38</f>
        <v>Netflix Inc.</v>
      </c>
      <c r="C38" s="2" t="str">
        <f aca="false">Data!F38</f>
        <v>STD</v>
      </c>
      <c r="D38" s="3" t="str">
        <f aca="false">IF(E38=0,"CORE",IF(E38=1,"WATCH","NON-CORE"))</f>
        <v>CORE</v>
      </c>
      <c r="E38" s="4" t="n">
        <f aca="false">COUNTIF(F38:K38,"FAIL")</f>
        <v>0</v>
      </c>
      <c r="F38" s="3" t="str">
        <f aca="false">IF(C38="FIN",IF(Data!M38=Data!H38,"PASS","FAIL"),IF(AND(ISNUMBER(Data!L38),Data!L38&gt;=Rules!$B$5,IF(Data!H38&lt;5,Data!M38=Data!H38,Data!M38&gt;=Rules!$B$6)),"PASS","FAIL"))</f>
        <v>PASS</v>
      </c>
      <c r="G38" s="3" t="str">
        <f aca="false">IF(C38="FIN","n/a",IF(C38="UTIL/REIT",IF(Data!Q38=Data!H38,"PASS","FAIL"),IF(AND(ISNUMBER(Data!N38),Data!N38&gt;0,IF(Data!H38&lt;5,Data!P38=Data!H38,Data!P38&gt;=Rules!$B$7)),"PASS","FAIL")))</f>
        <v>PASS</v>
      </c>
      <c r="H38" s="3" t="str">
        <f aca="false">IF(C38="FIN",IF(AND(ISNUMBER(Data!S38),Data!S38&gt;=Rules!$B$15),"PASS","FAIL"),IF(AND(ISNUMBER(Data!R38),Data!R38&gt;=Rules!$B$8),"PASS","FAIL"))</f>
        <v>PASS</v>
      </c>
      <c r="I38" s="3" t="str">
        <f aca="false">IF(C38="FIN","n/a",IF(C38="UTIL/REIT",IF(AND(Data!U38&lt;=Rules!$B$16,Data!V38&gt;=Rules!$B$17),"PASS","FAIL"),IF(AND(Data!U38&lt;=Rules!$B$9,Data!V38&gt;=Rules!$B$10),"PASS","FAIL")))</f>
        <v>PASS</v>
      </c>
      <c r="J38" s="3" t="str">
        <f aca="false">IF(AND(ISNUMBER(Data!J38),ISNUMBER(Data!K38)),IF(AND(Data!J38&gt;=Rules!$B$11,Data!K38&gt;=Rules!$B$12),"PASS","FAIL"),"FAIL")</f>
        <v>PASS</v>
      </c>
      <c r="K38" s="3" t="str">
        <f aca="false">IF(AND(ISNUMBER(Data!W38),ISNUMBER(Data!X38)),IF(AND(Data!W38&lt;=Rules!$B$13,Data!X38&lt;=Rules!$B$14),"PASS","FAIL"),"FAIL")</f>
        <v>PASS</v>
      </c>
      <c r="L38" s="4" t="str">
        <f aca="false">IF(F38="FAIL","רווחיות; ","")&amp;IF(G38="FAIL","תזרים; ","")&amp;IF(H38="FAIL","תשואה על ההון; ","")&amp;IF(I38="FAIL","מאזן; ","")&amp;IF(J38="FAIL","צמיחה; ","")&amp;IF(K38="FAIL","דילול; ","")</f>
        <v/>
      </c>
      <c r="M38" s="4" t="s">
        <v>26</v>
      </c>
      <c r="N38" s="5" t="n">
        <f aca="false">IF(M38="EXTREME",Rules!$B$23,IF(M38="HIGH",Rules!$B$22,Rules!$B$21))</f>
        <v>0.03</v>
      </c>
      <c r="O38" s="6" t="n">
        <v>88.6909579983584</v>
      </c>
      <c r="P38" s="4" t="s">
        <v>30</v>
      </c>
      <c r="Q38" s="4" t="s">
        <v>28</v>
      </c>
      <c r="R38" s="4" t="str">
        <f aca="false">IF(Q38="כן",P38,"לא רלוונטי (SMA200 יורד)")</f>
        <v>לא רלוונטי (SMA200 יורד)</v>
      </c>
      <c r="S38" s="4" t="str">
        <f aca="false">IF(NOT(ISNUMBER(T38)),"n/a",IF(AND(T38&gt;Rules!$B$18,ISNUMBER(U38),U38&lt;Rules!$B$19),"יקרה",IF(T38&lt;Rules!$B$20,"זולה","הוגנת")))</f>
        <v>זולה</v>
      </c>
      <c r="T38" s="7" t="n">
        <f aca="false">Data!AA38</f>
        <v>0.558146344441074</v>
      </c>
      <c r="U38" s="8" t="n">
        <f aca="false">Data!AC38</f>
        <v>0.0369990037072612</v>
      </c>
      <c r="V38" s="9" t="n">
        <v>0.0267</v>
      </c>
      <c r="W38" s="5" t="n">
        <v>-0.7594</v>
      </c>
    </row>
    <row r="39" customFormat="false" ht="15" hidden="false" customHeight="false" outlineLevel="0" collapsed="false">
      <c r="A39" s="2" t="str">
        <f aca="false">Data!A39</f>
        <v>NOW</v>
      </c>
      <c r="B39" s="2" t="str">
        <f aca="false">Data!B39</f>
        <v>ServiceNow Inc.</v>
      </c>
      <c r="C39" s="2" t="str">
        <f aca="false">Data!F39</f>
        <v>STD</v>
      </c>
      <c r="D39" s="3" t="str">
        <f aca="false">IF(E39=0,"CORE",IF(E39=1,"WATCH","NON-CORE"))</f>
        <v>CORE</v>
      </c>
      <c r="E39" s="4" t="n">
        <f aca="false">COUNTIF(F39:K39,"FAIL")</f>
        <v>0</v>
      </c>
      <c r="F39" s="3" t="str">
        <f aca="false">IF(C39="FIN",IF(Data!M39=Data!H39,"PASS","FAIL"),IF(AND(ISNUMBER(Data!L39),Data!L39&gt;=Rules!$B$5,IF(Data!H39&lt;5,Data!M39=Data!H39,Data!M39&gt;=Rules!$B$6)),"PASS","FAIL"))</f>
        <v>PASS</v>
      </c>
      <c r="G39" s="3" t="str">
        <f aca="false">IF(C39="FIN","n/a",IF(C39="UTIL/REIT",IF(Data!Q39=Data!H39,"PASS","FAIL"),IF(AND(ISNUMBER(Data!N39),Data!N39&gt;0,IF(Data!H39&lt;5,Data!P39=Data!H39,Data!P39&gt;=Rules!$B$7)),"PASS","FAIL")))</f>
        <v>PASS</v>
      </c>
      <c r="H39" s="3" t="str">
        <f aca="false">IF(C39="FIN",IF(AND(ISNUMBER(Data!S39),Data!S39&gt;=Rules!$B$15),"PASS","FAIL"),IF(AND(ISNUMBER(Data!R39),Data!R39&gt;=Rules!$B$8),"PASS","FAIL"))</f>
        <v>PASS</v>
      </c>
      <c r="I39" s="3" t="str">
        <f aca="false">IF(C39="FIN","n/a",IF(C39="UTIL/REIT",IF(AND(Data!U39&lt;=Rules!$B$16,Data!V39&gt;=Rules!$B$17),"PASS","FAIL"),IF(AND(Data!U39&lt;=Rules!$B$9,Data!V39&gt;=Rules!$B$10),"PASS","FAIL")))</f>
        <v>PASS</v>
      </c>
      <c r="J39" s="3" t="str">
        <f aca="false">IF(AND(ISNUMBER(Data!J39),ISNUMBER(Data!K39)),IF(AND(Data!J39&gt;=Rules!$B$11,Data!K39&gt;=Rules!$B$12),"PASS","FAIL"),"FAIL")</f>
        <v>PASS</v>
      </c>
      <c r="K39" s="3" t="str">
        <f aca="false">IF(AND(ISNUMBER(Data!W39),ISNUMBER(Data!X39)),IF(AND(Data!W39&lt;=Rules!$B$13,Data!X39&lt;=Rules!$B$14),"PASS","FAIL"),"FAIL")</f>
        <v>PASS</v>
      </c>
      <c r="L39" s="4" t="str">
        <f aca="false">IF(F39="FAIL","רווחיות; ","")&amp;IF(G39="FAIL","תזרים; ","")&amp;IF(H39="FAIL","תשואה על ההון; ","")&amp;IF(I39="FAIL","מאזן; ","")&amp;IF(J39="FAIL","צמיחה; ","")&amp;IF(K39="FAIL","דילול; ","")</f>
        <v/>
      </c>
      <c r="M39" s="4" t="s">
        <v>26</v>
      </c>
      <c r="N39" s="5" t="n">
        <f aca="false">IF(M39="EXTREME",Rules!$B$23,IF(M39="HIGH",Rules!$B$22,Rules!$B$21))</f>
        <v>0.03</v>
      </c>
      <c r="O39" s="6" t="n">
        <v>49.9256910072849</v>
      </c>
      <c r="P39" s="4" t="s">
        <v>24</v>
      </c>
      <c r="Q39" s="4" t="s">
        <v>28</v>
      </c>
      <c r="R39" s="4" t="str">
        <f aca="false">IF(Q39="כן",P39,"לא רלוונטי (SMA200 יורד)")</f>
        <v>לא רלוונטי (SMA200 יורד)</v>
      </c>
      <c r="S39" s="4" t="str">
        <f aca="false">IF(NOT(ISNUMBER(T39)),"n/a",IF(AND(T39&gt;Rules!$B$18,ISNUMBER(U39),U39&lt;Rules!$B$19),"יקרה",IF(T39&lt;Rules!$B$20,"זולה","הוגנת")))</f>
        <v>זולה</v>
      </c>
      <c r="T39" s="7" t="n">
        <f aca="false">Data!AA39</f>
        <v>0.57649547886318</v>
      </c>
      <c r="U39" s="8" t="n">
        <f aca="false">Data!AC39</f>
        <v>0.0315706358583259</v>
      </c>
      <c r="V39" s="9" t="n">
        <v>0.0456</v>
      </c>
      <c r="W39" s="5" t="n">
        <v>-0.6453</v>
      </c>
    </row>
    <row r="40" customFormat="false" ht="15" hidden="false" customHeight="false" outlineLevel="0" collapsed="false">
      <c r="A40" s="2" t="str">
        <f aca="false">Data!A40</f>
        <v>NVDA</v>
      </c>
      <c r="B40" s="2" t="str">
        <f aca="false">Data!B40</f>
        <v>NVIDIA Corp.</v>
      </c>
      <c r="C40" s="2" t="str">
        <f aca="false">Data!F40</f>
        <v>STD</v>
      </c>
      <c r="D40" s="3" t="str">
        <f aca="false">IF(E40=0,"CORE",IF(E40=1,"WATCH","NON-CORE"))</f>
        <v>CORE</v>
      </c>
      <c r="E40" s="4" t="n">
        <f aca="false">COUNTIF(F40:K40,"FAIL")</f>
        <v>0</v>
      </c>
      <c r="F40" s="3" t="str">
        <f aca="false">IF(C40="FIN",IF(Data!M40=Data!H40,"PASS","FAIL"),IF(AND(ISNUMBER(Data!L40),Data!L40&gt;=Rules!$B$5,IF(Data!H40&lt;5,Data!M40=Data!H40,Data!M40&gt;=Rules!$B$6)),"PASS","FAIL"))</f>
        <v>PASS</v>
      </c>
      <c r="G40" s="3" t="str">
        <f aca="false">IF(C40="FIN","n/a",IF(C40="UTIL/REIT",IF(Data!Q40=Data!H40,"PASS","FAIL"),IF(AND(ISNUMBER(Data!N40),Data!N40&gt;0,IF(Data!H40&lt;5,Data!P40=Data!H40,Data!P40&gt;=Rules!$B$7)),"PASS","FAIL")))</f>
        <v>PASS</v>
      </c>
      <c r="H40" s="3" t="str">
        <f aca="false">IF(C40="FIN",IF(AND(ISNUMBER(Data!S40),Data!S40&gt;=Rules!$B$15),"PASS","FAIL"),IF(AND(ISNUMBER(Data!R40),Data!R40&gt;=Rules!$B$8),"PASS","FAIL"))</f>
        <v>PASS</v>
      </c>
      <c r="I40" s="3" t="str">
        <f aca="false">IF(C40="FIN","n/a",IF(C40="UTIL/REIT",IF(AND(Data!U40&lt;=Rules!$B$16,Data!V40&gt;=Rules!$B$17),"PASS","FAIL"),IF(AND(Data!U40&lt;=Rules!$B$9,Data!V40&gt;=Rules!$B$10),"PASS","FAIL")))</f>
        <v>PASS</v>
      </c>
      <c r="J40" s="3" t="str">
        <f aca="false">IF(AND(ISNUMBER(Data!J40),ISNUMBER(Data!K40)),IF(AND(Data!J40&gt;=Rules!$B$11,Data!K40&gt;=Rules!$B$12),"PASS","FAIL"),"FAIL")</f>
        <v>PASS</v>
      </c>
      <c r="K40" s="3" t="str">
        <f aca="false">IF(AND(ISNUMBER(Data!W40),ISNUMBER(Data!X40)),IF(AND(Data!W40&lt;=Rules!$B$13,Data!X40&lt;=Rules!$B$14),"PASS","FAIL"),"FAIL")</f>
        <v>PASS</v>
      </c>
      <c r="L40" s="4" t="str">
        <f aca="false">IF(F40="FAIL","רווחיות; ","")&amp;IF(G40="FAIL","תזרים; ","")&amp;IF(H40="FAIL","תשואה על ההון; ","")&amp;IF(I40="FAIL","מאזן; ","")&amp;IF(J40="FAIL","צמיחה; ","")&amp;IF(K40="FAIL","דילול; ","")</f>
        <v/>
      </c>
      <c r="M40" s="4" t="s">
        <v>23</v>
      </c>
      <c r="N40" s="5" t="n">
        <f aca="false">IF(M40="EXTREME",Rules!$B$23,IF(M40="HIGH",Rules!$B$22,Rules!$B$21))</f>
        <v>0.06</v>
      </c>
      <c r="O40" s="6" t="n">
        <v>44.6858644202098</v>
      </c>
      <c r="P40" s="4" t="s">
        <v>24</v>
      </c>
      <c r="Q40" s="4" t="s">
        <v>25</v>
      </c>
      <c r="R40" s="4" t="str">
        <f aca="false">IF(Q40="כן",P40,"לא רלוונטי (SMA200 יורד)")</f>
        <v>Q2</v>
      </c>
      <c r="S40" s="4" t="str">
        <f aca="false">IF(NOT(ISNUMBER(T40)),"n/a",IF(AND(T40&gt;Rules!$B$18,ISNUMBER(U40),U40&lt;Rules!$B$19),"יקרה",IF(T40&lt;Rules!$B$20,"זולה","הוגנת")))</f>
        <v>זולה</v>
      </c>
      <c r="T40" s="7" t="n">
        <f aca="false">Data!AA40</f>
        <v>0.550161133948068</v>
      </c>
      <c r="U40" s="8" t="n">
        <f aca="false">Data!AC40</f>
        <v>0.0233780074140658</v>
      </c>
      <c r="V40" s="9" t="n">
        <v>0.0278</v>
      </c>
      <c r="W40" s="5" t="n">
        <v>-0.6635</v>
      </c>
    </row>
    <row r="41" customFormat="false" ht="15" hidden="false" customHeight="false" outlineLevel="0" collapsed="false">
      <c r="A41" s="2" t="str">
        <f aca="false">Data!A41</f>
        <v>PGR</v>
      </c>
      <c r="B41" s="2" t="str">
        <f aca="false">Data!B41</f>
        <v>Progressive Corp.</v>
      </c>
      <c r="C41" s="2" t="str">
        <f aca="false">Data!F41</f>
        <v>FIN</v>
      </c>
      <c r="D41" s="3" t="str">
        <f aca="false">IF(E41=0,"CORE",IF(E41=1,"WATCH","NON-CORE"))</f>
        <v>CORE</v>
      </c>
      <c r="E41" s="4" t="n">
        <f aca="false">COUNTIF(F41:K41,"FAIL")</f>
        <v>0</v>
      </c>
      <c r="F41" s="3" t="str">
        <f aca="false">IF(C41="FIN",IF(Data!M41=Data!H41,"PASS","FAIL"),IF(AND(ISNUMBER(Data!L41),Data!L41&gt;=Rules!$B$5,IF(Data!H41&lt;5,Data!M41=Data!H41,Data!M41&gt;=Rules!$B$6)),"PASS","FAIL"))</f>
        <v>PASS</v>
      </c>
      <c r="G41" s="3" t="str">
        <f aca="false">IF(C41="FIN","n/a",IF(C41="UTIL/REIT",IF(Data!Q41=Data!H41,"PASS","FAIL"),IF(AND(ISNUMBER(Data!N41),Data!N41&gt;0,IF(Data!H41&lt;5,Data!P41=Data!H41,Data!P41&gt;=Rules!$B$7)),"PASS","FAIL")))</f>
        <v>n/a</v>
      </c>
      <c r="H41" s="3" t="str">
        <f aca="false">IF(C41="FIN",IF(AND(ISNUMBER(Data!S41),Data!S41&gt;=Rules!$B$15),"PASS","FAIL"),IF(AND(ISNUMBER(Data!R41),Data!R41&gt;=Rules!$B$8),"PASS","FAIL"))</f>
        <v>PASS</v>
      </c>
      <c r="I41" s="3" t="str">
        <f aca="false">IF(C41="FIN","n/a",IF(C41="UTIL/REIT",IF(AND(Data!U41&lt;=Rules!$B$16,Data!V41&gt;=Rules!$B$17),"PASS","FAIL"),IF(AND(Data!U41&lt;=Rules!$B$9,Data!V41&gt;=Rules!$B$10),"PASS","FAIL")))</f>
        <v>n/a</v>
      </c>
      <c r="J41" s="3" t="str">
        <f aca="false">IF(AND(ISNUMBER(Data!J41),ISNUMBER(Data!K41)),IF(AND(Data!J41&gt;=Rules!$B$11,Data!K41&gt;=Rules!$B$12),"PASS","FAIL"),"FAIL")</f>
        <v>PASS</v>
      </c>
      <c r="K41" s="3" t="str">
        <f aca="false">IF(AND(ISNUMBER(Data!W41),ISNUMBER(Data!X41)),IF(AND(Data!W41&lt;=Rules!$B$13,Data!X41&lt;=Rules!$B$14),"PASS","FAIL"),"FAIL")</f>
        <v>PASS</v>
      </c>
      <c r="L41" s="4" t="str">
        <f aca="false">IF(F41="FAIL","רווחיות; ","")&amp;IF(G41="FAIL","תזרים; ","")&amp;IF(H41="FAIL","תשואה על ההון; ","")&amp;IF(I41="FAIL","מאזן; ","")&amp;IF(J41="FAIL","צמיחה; ","")&amp;IF(K41="FAIL","דילול; ","")</f>
        <v/>
      </c>
      <c r="M41" s="4" t="s">
        <v>29</v>
      </c>
      <c r="N41" s="5" t="n">
        <f aca="false">IF(M41="EXTREME",Rules!$B$23,IF(M41="HIGH",Rules!$B$22,Rules!$B$21))</f>
        <v>0.1</v>
      </c>
      <c r="O41" s="6" t="n">
        <v>74.1276275906257</v>
      </c>
      <c r="P41" s="4" t="s">
        <v>27</v>
      </c>
      <c r="Q41" s="4" t="s">
        <v>28</v>
      </c>
      <c r="R41" s="4" t="str">
        <f aca="false">IF(Q41="כן",P41,"לא רלוונטי (SMA200 יורד)")</f>
        <v>לא רלוונטי (SMA200 יורד)</v>
      </c>
      <c r="S41" s="4" t="str">
        <f aca="false">IF(NOT(ISNUMBER(T41)),"n/a",IF(AND(T41&gt;Rules!$B$18,ISNUMBER(U41),U41&lt;Rules!$B$19),"יקרה",IF(T41&lt;Rules!$B$20,"זולה","הוגנת")))</f>
        <v>זולה</v>
      </c>
      <c r="T41" s="7" t="n">
        <f aca="false">Data!AA41</f>
        <v>0.611129005283901</v>
      </c>
      <c r="U41" s="8" t="n">
        <f aca="false">Data!AC41</f>
        <v>0.123455433755355</v>
      </c>
      <c r="V41" s="9" t="n">
        <v>0.0207</v>
      </c>
      <c r="W41" s="5" t="n">
        <v>-0.346</v>
      </c>
    </row>
    <row r="42" customFormat="false" ht="15" hidden="false" customHeight="false" outlineLevel="0" collapsed="false">
      <c r="A42" s="2" t="str">
        <f aca="false">Data!A42</f>
        <v>PM</v>
      </c>
      <c r="B42" s="2" t="str">
        <f aca="false">Data!B42</f>
        <v>Philip Morris International Inc.</v>
      </c>
      <c r="C42" s="2" t="str">
        <f aca="false">Data!F42</f>
        <v>STD</v>
      </c>
      <c r="D42" s="3" t="str">
        <f aca="false">IF(E42=0,"CORE",IF(E42=1,"WATCH","NON-CORE"))</f>
        <v>CORE</v>
      </c>
      <c r="E42" s="4" t="n">
        <f aca="false">COUNTIF(F42:K42,"FAIL")</f>
        <v>0</v>
      </c>
      <c r="F42" s="3" t="str">
        <f aca="false">IF(C42="FIN",IF(Data!M42=Data!H42,"PASS","FAIL"),IF(AND(ISNUMBER(Data!L42),Data!L42&gt;=Rules!$B$5,IF(Data!H42&lt;5,Data!M42=Data!H42,Data!M42&gt;=Rules!$B$6)),"PASS","FAIL"))</f>
        <v>PASS</v>
      </c>
      <c r="G42" s="3" t="str">
        <f aca="false">IF(C42="FIN","n/a",IF(C42="UTIL/REIT",IF(Data!Q42=Data!H42,"PASS","FAIL"),IF(AND(ISNUMBER(Data!N42),Data!N42&gt;0,IF(Data!H42&lt;5,Data!P42=Data!H42,Data!P42&gt;=Rules!$B$7)),"PASS","FAIL")))</f>
        <v>PASS</v>
      </c>
      <c r="H42" s="3" t="str">
        <f aca="false">IF(C42="FIN",IF(AND(ISNUMBER(Data!S42),Data!S42&gt;=Rules!$B$15),"PASS","FAIL"),IF(AND(ISNUMBER(Data!R42),Data!R42&gt;=Rules!$B$8),"PASS","FAIL"))</f>
        <v>PASS</v>
      </c>
      <c r="I42" s="3" t="str">
        <f aca="false">IF(C42="FIN","n/a",IF(C42="UTIL/REIT",IF(AND(Data!U42&lt;=Rules!$B$16,Data!V42&gt;=Rules!$B$17),"PASS","FAIL"),IF(AND(Data!U42&lt;=Rules!$B$9,Data!V42&gt;=Rules!$B$10),"PASS","FAIL")))</f>
        <v>PASS</v>
      </c>
      <c r="J42" s="3" t="str">
        <f aca="false">IF(AND(ISNUMBER(Data!J42),ISNUMBER(Data!K42)),IF(AND(Data!J42&gt;=Rules!$B$11,Data!K42&gt;=Rules!$B$12),"PASS","FAIL"),"FAIL")</f>
        <v>PASS</v>
      </c>
      <c r="K42" s="3" t="str">
        <f aca="false">IF(AND(ISNUMBER(Data!W42),ISNUMBER(Data!X42)),IF(AND(Data!W42&lt;=Rules!$B$13,Data!X42&lt;=Rules!$B$14),"PASS","FAIL"),"FAIL")</f>
        <v>PASS</v>
      </c>
      <c r="L42" s="4" t="str">
        <f aca="false">IF(F42="FAIL","רווחיות; ","")&amp;IF(G42="FAIL","תזרים; ","")&amp;IF(H42="FAIL","תשואה על ההון; ","")&amp;IF(I42="FAIL","מאזן; ","")&amp;IF(J42="FAIL","צמיחה; ","")&amp;IF(K42="FAIL","דילול; ","")</f>
        <v/>
      </c>
      <c r="M42" s="4" t="s">
        <v>29</v>
      </c>
      <c r="N42" s="5" t="n">
        <f aca="false">IF(M42="EXTREME",Rules!$B$23,IF(M42="HIGH",Rules!$B$22,Rules!$B$21))</f>
        <v>0.1</v>
      </c>
      <c r="O42" s="6" t="n">
        <v>34.1051737636178</v>
      </c>
      <c r="P42" s="4" t="s">
        <v>24</v>
      </c>
      <c r="Q42" s="4" t="s">
        <v>25</v>
      </c>
      <c r="R42" s="4" t="str">
        <f aca="false">IF(Q42="כן",P42,"לא רלוונטי (SMA200 יורד)")</f>
        <v>Q2</v>
      </c>
      <c r="S42" s="4" t="str">
        <f aca="false">IF(NOT(ISNUMBER(T42)),"n/a",IF(AND(T42&gt;Rules!$B$18,ISNUMBER(U42),U42&lt;Rules!$B$19),"יקרה",IF(T42&lt;Rules!$B$20,"זולה","הוגנת")))</f>
        <v>הוגנת</v>
      </c>
      <c r="T42" s="7" t="n">
        <f aca="false">Data!AA42</f>
        <v>1.53908830953358</v>
      </c>
      <c r="U42" s="8" t="n">
        <f aca="false">Data!AC42</f>
        <v>0.0406585196573582</v>
      </c>
      <c r="V42" s="9" t="n">
        <v>0.0235</v>
      </c>
      <c r="W42" s="5" t="n">
        <v>-0.2576</v>
      </c>
    </row>
    <row r="43" customFormat="false" ht="15" hidden="false" customHeight="false" outlineLevel="0" collapsed="false">
      <c r="A43" s="2" t="str">
        <f aca="false">Data!A43</f>
        <v>SCHW</v>
      </c>
      <c r="B43" s="2" t="str">
        <f aca="false">Data!B43</f>
        <v>The Charles Schwab Corp.</v>
      </c>
      <c r="C43" s="2" t="str">
        <f aca="false">Data!F43</f>
        <v>FIN</v>
      </c>
      <c r="D43" s="3" t="str">
        <f aca="false">IF(E43=0,"CORE",IF(E43=1,"WATCH","NON-CORE"))</f>
        <v>CORE</v>
      </c>
      <c r="E43" s="4" t="n">
        <f aca="false">COUNTIF(F43:K43,"FAIL")</f>
        <v>0</v>
      </c>
      <c r="F43" s="3" t="str">
        <f aca="false">IF(C43="FIN",IF(Data!M43=Data!H43,"PASS","FAIL"),IF(AND(ISNUMBER(Data!L43),Data!L43&gt;=Rules!$B$5,IF(Data!H43&lt;5,Data!M43=Data!H43,Data!M43&gt;=Rules!$B$6)),"PASS","FAIL"))</f>
        <v>PASS</v>
      </c>
      <c r="G43" s="3" t="str">
        <f aca="false">IF(C43="FIN","n/a",IF(C43="UTIL/REIT",IF(Data!Q43=Data!H43,"PASS","FAIL"),IF(AND(ISNUMBER(Data!N43),Data!N43&gt;0,IF(Data!H43&lt;5,Data!P43=Data!H43,Data!P43&gt;=Rules!$B$7)),"PASS","FAIL")))</f>
        <v>n/a</v>
      </c>
      <c r="H43" s="3" t="str">
        <f aca="false">IF(C43="FIN",IF(AND(ISNUMBER(Data!S43),Data!S43&gt;=Rules!$B$15),"PASS","FAIL"),IF(AND(ISNUMBER(Data!R43),Data!R43&gt;=Rules!$B$8),"PASS","FAIL"))</f>
        <v>PASS</v>
      </c>
      <c r="I43" s="3" t="str">
        <f aca="false">IF(C43="FIN","n/a",IF(C43="UTIL/REIT",IF(AND(Data!U43&lt;=Rules!$B$16,Data!V43&gt;=Rules!$B$17),"PASS","FAIL"),IF(AND(Data!U43&lt;=Rules!$B$9,Data!V43&gt;=Rules!$B$10),"PASS","FAIL")))</f>
        <v>n/a</v>
      </c>
      <c r="J43" s="3" t="str">
        <f aca="false">IF(AND(ISNUMBER(Data!J43),ISNUMBER(Data!K43)),IF(AND(Data!J43&gt;=Rules!$B$11,Data!K43&gt;=Rules!$B$12),"PASS","FAIL"),"FAIL")</f>
        <v>PASS</v>
      </c>
      <c r="K43" s="3" t="str">
        <f aca="false">IF(AND(ISNUMBER(Data!W43),ISNUMBER(Data!X43)),IF(AND(Data!W43&lt;=Rules!$B$13,Data!X43&lt;=Rules!$B$14),"PASS","FAIL"),"FAIL")</f>
        <v>PASS</v>
      </c>
      <c r="L43" s="4" t="str">
        <f aca="false">IF(F43="FAIL","רווחיות; ","")&amp;IF(G43="FAIL","תזרים; ","")&amp;IF(H43="FAIL","תשואה על ההון; ","")&amp;IF(I43="FAIL","מאזן; ","")&amp;IF(J43="FAIL","צמיחה; ","")&amp;IF(K43="FAIL","דילול; ","")</f>
        <v/>
      </c>
      <c r="M43" s="4" t="s">
        <v>23</v>
      </c>
      <c r="N43" s="5" t="n">
        <f aca="false">IF(M43="EXTREME",Rules!$B$23,IF(M43="HIGH",Rules!$B$22,Rules!$B$21))</f>
        <v>0.06</v>
      </c>
      <c r="O43" s="6" t="n">
        <v>59.2712790056244</v>
      </c>
      <c r="P43" s="4" t="s">
        <v>27</v>
      </c>
      <c r="Q43" s="4" t="s">
        <v>25</v>
      </c>
      <c r="R43" s="4" t="str">
        <f aca="false">IF(Q43="כן",P43,"לא רלוונטי (SMA200 יורד)")</f>
        <v>Q3</v>
      </c>
      <c r="S43" s="4" t="str">
        <f aca="false">IF(NOT(ISNUMBER(T43)),"n/a",IF(AND(T43&gt;Rules!$B$18,ISNUMBER(U43),U43&lt;Rules!$B$19),"יקרה",IF(T43&lt;Rules!$B$20,"זולה","הוגנת")))</f>
        <v>זולה</v>
      </c>
      <c r="T43" s="7" t="n">
        <f aca="false">Data!AA43</f>
        <v>0.70605911069597</v>
      </c>
      <c r="U43" s="8" t="n">
        <f aca="false">Data!AC43</f>
        <v>0.0221566644097966</v>
      </c>
      <c r="V43" s="9" t="n">
        <v>0.0202</v>
      </c>
      <c r="W43" s="5" t="n">
        <v>-0.5045</v>
      </c>
    </row>
    <row r="44" customFormat="false" ht="15" hidden="false" customHeight="false" outlineLevel="0" collapsed="false">
      <c r="A44" s="2" t="str">
        <f aca="false">Data!A44</f>
        <v>SHOP</v>
      </c>
      <c r="B44" s="2" t="str">
        <f aca="false">Data!B44</f>
        <v>Shopify Inc.</v>
      </c>
      <c r="C44" s="2" t="str">
        <f aca="false">Data!F44</f>
        <v>STD</v>
      </c>
      <c r="D44" s="3" t="str">
        <f aca="false">IF(E44=0,"CORE",IF(E44=1,"WATCH","NON-CORE"))</f>
        <v>CORE</v>
      </c>
      <c r="E44" s="4" t="n">
        <f aca="false">COUNTIF(F44:K44,"FAIL")</f>
        <v>0</v>
      </c>
      <c r="F44" s="3" t="str">
        <f aca="false">IF(C44="FIN",IF(Data!M44=Data!H44,"PASS","FAIL"),IF(AND(ISNUMBER(Data!L44),Data!L44&gt;=Rules!$B$5,IF(Data!H44&lt;5,Data!M44=Data!H44,Data!M44&gt;=Rules!$B$6)),"PASS","FAIL"))</f>
        <v>PASS</v>
      </c>
      <c r="G44" s="3" t="str">
        <f aca="false">IF(C44="FIN","n/a",IF(C44="UTIL/REIT",IF(Data!Q44=Data!H44,"PASS","FAIL"),IF(AND(ISNUMBER(Data!N44),Data!N44&gt;0,IF(Data!H44&lt;5,Data!P44=Data!H44,Data!P44&gt;=Rules!$B$7)),"PASS","FAIL")))</f>
        <v>PASS</v>
      </c>
      <c r="H44" s="3" t="str">
        <f aca="false">IF(C44="FIN",IF(AND(ISNUMBER(Data!S44),Data!S44&gt;=Rules!$B$15),"PASS","FAIL"),IF(AND(ISNUMBER(Data!R44),Data!R44&gt;=Rules!$B$8),"PASS","FAIL"))</f>
        <v>PASS</v>
      </c>
      <c r="I44" s="3" t="str">
        <f aca="false">IF(C44="FIN","n/a",IF(C44="UTIL/REIT",IF(AND(Data!U44&lt;=Rules!$B$16,Data!V44&gt;=Rules!$B$17),"PASS","FAIL"),IF(AND(Data!U44&lt;=Rules!$B$9,Data!V44&gt;=Rules!$B$10),"PASS","FAIL")))</f>
        <v>PASS</v>
      </c>
      <c r="J44" s="3" t="str">
        <f aca="false">IF(AND(ISNUMBER(Data!J44),ISNUMBER(Data!K44)),IF(AND(Data!J44&gt;=Rules!$B$11,Data!K44&gt;=Rules!$B$12),"PASS","FAIL"),"FAIL")</f>
        <v>PASS</v>
      </c>
      <c r="K44" s="3" t="str">
        <f aca="false">IF(AND(ISNUMBER(Data!W44),ISNUMBER(Data!X44)),IF(AND(Data!W44&lt;=Rules!$B$13,Data!X44&lt;=Rules!$B$14),"PASS","FAIL"),"FAIL")</f>
        <v>PASS</v>
      </c>
      <c r="L44" s="4" t="str">
        <f aca="false">IF(F44="FAIL","רווחיות; ","")&amp;IF(G44="FAIL","תזרים; ","")&amp;IF(H44="FAIL","תשואה על ההון; ","")&amp;IF(I44="FAIL","מאזן; ","")&amp;IF(J44="FAIL","צמיחה; ","")&amp;IF(K44="FAIL","דילול; ","")</f>
        <v/>
      </c>
      <c r="M44" s="4" t="s">
        <v>26</v>
      </c>
      <c r="N44" s="5" t="n">
        <f aca="false">IF(M44="EXTREME",Rules!$B$23,IF(M44="HIGH",Rules!$B$22,Rules!$B$21))</f>
        <v>0.03</v>
      </c>
      <c r="O44" s="6" t="n">
        <v>45.959780257693</v>
      </c>
      <c r="P44" s="4" t="s">
        <v>24</v>
      </c>
      <c r="Q44" s="4" t="s">
        <v>28</v>
      </c>
      <c r="R44" s="4" t="str">
        <f aca="false">IF(Q44="כן",P44,"לא רלוונטי (SMA200 יורד)")</f>
        <v>לא רלוונטי (SMA200 יורד)</v>
      </c>
      <c r="S44" s="4" t="str">
        <f aca="false">IF(NOT(ISNUMBER(T44)),"n/a",IF(AND(T44&gt;Rules!$B$18,ISNUMBER(U44),U44&lt;Rules!$B$19),"יקרה",IF(T44&lt;Rules!$B$20,"זולה","הוגנת")))</f>
        <v>הוגנת</v>
      </c>
      <c r="T44" s="7" t="n">
        <f aca="false">Data!AA44</f>
        <v>1.01974551789172</v>
      </c>
      <c r="U44" s="8" t="n">
        <f aca="false">Data!AC44</f>
        <v>0.0101370284317234</v>
      </c>
      <c r="V44" s="9" t="n">
        <v>0.0436</v>
      </c>
      <c r="W44" s="5" t="n">
        <v>-0.8483</v>
      </c>
    </row>
    <row r="45" customFormat="false" ht="15" hidden="false" customHeight="false" outlineLevel="0" collapsed="false">
      <c r="A45" s="2" t="str">
        <f aca="false">Data!A45</f>
        <v>SPGI</v>
      </c>
      <c r="B45" s="2" t="str">
        <f aca="false">Data!B45</f>
        <v>S&amp;P Global Inc.</v>
      </c>
      <c r="C45" s="2" t="str">
        <f aca="false">Data!F45</f>
        <v>STD</v>
      </c>
      <c r="D45" s="3" t="str">
        <f aca="false">IF(E45=0,"CORE",IF(E45=1,"WATCH","NON-CORE"))</f>
        <v>CORE</v>
      </c>
      <c r="E45" s="4" t="n">
        <f aca="false">COUNTIF(F45:K45,"FAIL")</f>
        <v>0</v>
      </c>
      <c r="F45" s="3" t="str">
        <f aca="false">IF(C45="FIN",IF(Data!M45=Data!H45,"PASS","FAIL"),IF(AND(ISNUMBER(Data!L45),Data!L45&gt;=Rules!$B$5,IF(Data!H45&lt;5,Data!M45=Data!H45,Data!M45&gt;=Rules!$B$6)),"PASS","FAIL"))</f>
        <v>PASS</v>
      </c>
      <c r="G45" s="3" t="str">
        <f aca="false">IF(C45="FIN","n/a",IF(C45="UTIL/REIT",IF(Data!Q45=Data!H45,"PASS","FAIL"),IF(AND(ISNUMBER(Data!N45),Data!N45&gt;0,IF(Data!H45&lt;5,Data!P45=Data!H45,Data!P45&gt;=Rules!$B$7)),"PASS","FAIL")))</f>
        <v>PASS</v>
      </c>
      <c r="H45" s="3" t="str">
        <f aca="false">IF(C45="FIN",IF(AND(ISNUMBER(Data!S45),Data!S45&gt;=Rules!$B$15),"PASS","FAIL"),IF(AND(ISNUMBER(Data!R45),Data!R45&gt;=Rules!$B$8),"PASS","FAIL"))</f>
        <v>PASS</v>
      </c>
      <c r="I45" s="3" t="str">
        <f aca="false">IF(C45="FIN","n/a",IF(C45="UTIL/REIT",IF(AND(Data!U45&lt;=Rules!$B$16,Data!V45&gt;=Rules!$B$17),"PASS","FAIL"),IF(AND(Data!U45&lt;=Rules!$B$9,Data!V45&gt;=Rules!$B$10),"PASS","FAIL")))</f>
        <v>PASS</v>
      </c>
      <c r="J45" s="3" t="str">
        <f aca="false">IF(AND(ISNUMBER(Data!J45),ISNUMBER(Data!K45)),IF(AND(Data!J45&gt;=Rules!$B$11,Data!K45&gt;=Rules!$B$12),"PASS","FAIL"),"FAIL")</f>
        <v>PASS</v>
      </c>
      <c r="K45" s="3" t="str">
        <f aca="false">IF(AND(ISNUMBER(Data!W45),ISNUMBER(Data!X45)),IF(AND(Data!W45&lt;=Rules!$B$13,Data!X45&lt;=Rules!$B$14),"PASS","FAIL"),"FAIL")</f>
        <v>PASS</v>
      </c>
      <c r="L45" s="4" t="str">
        <f aca="false">IF(F45="FAIL","רווחיות; ","")&amp;IF(G45="FAIL","תזרים; ","")&amp;IF(H45="FAIL","תשואה על ההון; ","")&amp;IF(I45="FAIL","מאזן; ","")&amp;IF(J45="FAIL","צמיחה; ","")&amp;IF(K45="FAIL","דילול; ","")</f>
        <v/>
      </c>
      <c r="M45" s="4" t="s">
        <v>29</v>
      </c>
      <c r="N45" s="5" t="n">
        <f aca="false">IF(M45="EXTREME",Rules!$B$23,IF(M45="HIGH",Rules!$B$22,Rules!$B$21))</f>
        <v>0.1</v>
      </c>
      <c r="O45" s="6" t="n">
        <v>94.1327377986571</v>
      </c>
      <c r="P45" s="4" t="s">
        <v>30</v>
      </c>
      <c r="Q45" s="4" t="s">
        <v>28</v>
      </c>
      <c r="R45" s="4" t="str">
        <f aca="false">IF(Q45="כן",P45,"לא רלוונטי (SMA200 יורד)")</f>
        <v>לא רלוונטי (SMA200 יורד)</v>
      </c>
      <c r="S45" s="4" t="str">
        <f aca="false">IF(NOT(ISNUMBER(T45)),"n/a",IF(AND(T45&gt;Rules!$B$18,ISNUMBER(U45),U45&lt;Rules!$B$19),"יקרה",IF(T45&lt;Rules!$B$20,"זולה","הוגנת")))</f>
        <v>זולה</v>
      </c>
      <c r="T45" s="7" t="n">
        <f aca="false">Data!AA45</f>
        <v>0.667685494842993</v>
      </c>
      <c r="U45" s="8" t="n">
        <f aca="false">Data!AC45</f>
        <v>0.0458631745717509</v>
      </c>
      <c r="V45" s="9" t="n">
        <v>0.0237</v>
      </c>
      <c r="W45" s="5" t="n">
        <v>-0.4003</v>
      </c>
    </row>
    <row r="46" customFormat="false" ht="15" hidden="false" customHeight="false" outlineLevel="0" collapsed="false">
      <c r="A46" s="2" t="str">
        <f aca="false">Data!A46</f>
        <v>SYK</v>
      </c>
      <c r="B46" s="2" t="str">
        <f aca="false">Data!B46</f>
        <v>Stryker Corp.</v>
      </c>
      <c r="C46" s="2" t="str">
        <f aca="false">Data!F46</f>
        <v>STD</v>
      </c>
      <c r="D46" s="3" t="str">
        <f aca="false">IF(E46=0,"CORE",IF(E46=1,"WATCH","NON-CORE"))</f>
        <v>CORE</v>
      </c>
      <c r="E46" s="4" t="n">
        <f aca="false">COUNTIF(F46:K46,"FAIL")</f>
        <v>0</v>
      </c>
      <c r="F46" s="3" t="str">
        <f aca="false">IF(C46="FIN",IF(Data!M46=Data!H46,"PASS","FAIL"),IF(AND(ISNUMBER(Data!L46),Data!L46&gt;=Rules!$B$5,IF(Data!H46&lt;5,Data!M46=Data!H46,Data!M46&gt;=Rules!$B$6)),"PASS","FAIL"))</f>
        <v>PASS</v>
      </c>
      <c r="G46" s="3" t="str">
        <f aca="false">IF(C46="FIN","n/a",IF(C46="UTIL/REIT",IF(Data!Q46=Data!H46,"PASS","FAIL"),IF(AND(ISNUMBER(Data!N46),Data!N46&gt;0,IF(Data!H46&lt;5,Data!P46=Data!H46,Data!P46&gt;=Rules!$B$7)),"PASS","FAIL")))</f>
        <v>PASS</v>
      </c>
      <c r="H46" s="3" t="str">
        <f aca="false">IF(C46="FIN",IF(AND(ISNUMBER(Data!S46),Data!S46&gt;=Rules!$B$15),"PASS","FAIL"),IF(AND(ISNUMBER(Data!R46),Data!R46&gt;=Rules!$B$8),"PASS","FAIL"))</f>
        <v>PASS</v>
      </c>
      <c r="I46" s="3" t="str">
        <f aca="false">IF(C46="FIN","n/a",IF(C46="UTIL/REIT",IF(AND(Data!U46&lt;=Rules!$B$16,Data!V46&gt;=Rules!$B$17),"PASS","FAIL"),IF(AND(Data!U46&lt;=Rules!$B$9,Data!V46&gt;=Rules!$B$10),"PASS","FAIL")))</f>
        <v>PASS</v>
      </c>
      <c r="J46" s="3" t="str">
        <f aca="false">IF(AND(ISNUMBER(Data!J46),ISNUMBER(Data!K46)),IF(AND(Data!J46&gt;=Rules!$B$11,Data!K46&gt;=Rules!$B$12),"PASS","FAIL"),"FAIL")</f>
        <v>PASS</v>
      </c>
      <c r="K46" s="3" t="str">
        <f aca="false">IF(AND(ISNUMBER(Data!W46),ISNUMBER(Data!X46)),IF(AND(Data!W46&lt;=Rules!$B$13,Data!X46&lt;=Rules!$B$14),"PASS","FAIL"),"FAIL")</f>
        <v>PASS</v>
      </c>
      <c r="L46" s="4" t="str">
        <f aca="false">IF(F46="FAIL","רווחיות; ","")&amp;IF(G46="FAIL","תזרים; ","")&amp;IF(H46="FAIL","תשואה על ההון; ","")&amp;IF(I46="FAIL","מאזן; ","")&amp;IF(J46="FAIL","צמיחה; ","")&amp;IF(K46="FAIL","דילול; ","")</f>
        <v/>
      </c>
      <c r="M46" s="4" t="s">
        <v>23</v>
      </c>
      <c r="N46" s="5" t="n">
        <f aca="false">IF(M46="EXTREME",Rules!$B$23,IF(M46="HIGH",Rules!$B$22,Rules!$B$21))</f>
        <v>0.06</v>
      </c>
      <c r="O46" s="6" t="n">
        <v>98.0698144360383</v>
      </c>
      <c r="P46" s="4" t="s">
        <v>30</v>
      </c>
      <c r="Q46" s="4" t="s">
        <v>28</v>
      </c>
      <c r="R46" s="4" t="str">
        <f aca="false">IF(Q46="כן",P46,"לא רלוונטי (SMA200 יורד)")</f>
        <v>לא רלוונטי (SMA200 יורד)</v>
      </c>
      <c r="S46" s="4" t="str">
        <f aca="false">IF(NOT(ISNUMBER(T46)),"n/a",IF(AND(T46&gt;Rules!$B$18,ISNUMBER(U46),U46&lt;Rules!$B$19),"יקרה",IF(T46&lt;Rules!$B$20,"זולה","הוגנת")))</f>
        <v>זולה</v>
      </c>
      <c r="T46" s="7" t="n">
        <f aca="false">Data!AA46</f>
        <v>0.701582497542037</v>
      </c>
      <c r="U46" s="8" t="n">
        <f aca="false">Data!AC46</f>
        <v>0.0434013069479369</v>
      </c>
      <c r="V46" s="9" t="n">
        <v>0.0279</v>
      </c>
      <c r="W46" s="5" t="n">
        <v>-0.3313</v>
      </c>
    </row>
    <row r="47" customFormat="false" ht="15" hidden="false" customHeight="false" outlineLevel="0" collapsed="false">
      <c r="A47" s="2" t="str">
        <f aca="false">Data!A47</f>
        <v>TJX</v>
      </c>
      <c r="B47" s="2" t="str">
        <f aca="false">Data!B47</f>
        <v>TJX Companies Inc.</v>
      </c>
      <c r="C47" s="2" t="str">
        <f aca="false">Data!F47</f>
        <v>STD</v>
      </c>
      <c r="D47" s="3" t="str">
        <f aca="false">IF(E47=0,"CORE",IF(E47=1,"WATCH","NON-CORE"))</f>
        <v>CORE</v>
      </c>
      <c r="E47" s="4" t="n">
        <f aca="false">COUNTIF(F47:K47,"FAIL")</f>
        <v>0</v>
      </c>
      <c r="F47" s="3" t="str">
        <f aca="false">IF(C47="FIN",IF(Data!M47=Data!H47,"PASS","FAIL"),IF(AND(ISNUMBER(Data!L47),Data!L47&gt;=Rules!$B$5,IF(Data!H47&lt;5,Data!M47=Data!H47,Data!M47&gt;=Rules!$B$6)),"PASS","FAIL"))</f>
        <v>PASS</v>
      </c>
      <c r="G47" s="3" t="str">
        <f aca="false">IF(C47="FIN","n/a",IF(C47="UTIL/REIT",IF(Data!Q47=Data!H47,"PASS","FAIL"),IF(AND(ISNUMBER(Data!N47),Data!N47&gt;0,IF(Data!H47&lt;5,Data!P47=Data!H47,Data!P47&gt;=Rules!$B$7)),"PASS","FAIL")))</f>
        <v>PASS</v>
      </c>
      <c r="H47" s="3" t="str">
        <f aca="false">IF(C47="FIN",IF(AND(ISNUMBER(Data!S47),Data!S47&gt;=Rules!$B$15),"PASS","FAIL"),IF(AND(ISNUMBER(Data!R47),Data!R47&gt;=Rules!$B$8),"PASS","FAIL"))</f>
        <v>PASS</v>
      </c>
      <c r="I47" s="3" t="str">
        <f aca="false">IF(C47="FIN","n/a",IF(C47="UTIL/REIT",IF(AND(Data!U47&lt;=Rules!$B$16,Data!V47&gt;=Rules!$B$17),"PASS","FAIL"),IF(AND(Data!U47&lt;=Rules!$B$9,Data!V47&gt;=Rules!$B$10),"PASS","FAIL")))</f>
        <v>PASS</v>
      </c>
      <c r="J47" s="3" t="str">
        <f aca="false">IF(AND(ISNUMBER(Data!J47),ISNUMBER(Data!K47)),IF(AND(Data!J47&gt;=Rules!$B$11,Data!K47&gt;=Rules!$B$12),"PASS","FAIL"),"FAIL")</f>
        <v>PASS</v>
      </c>
      <c r="K47" s="3" t="str">
        <f aca="false">IF(AND(ISNUMBER(Data!W47),ISNUMBER(Data!X47)),IF(AND(Data!W47&lt;=Rules!$B$13,Data!X47&lt;=Rules!$B$14),"PASS","FAIL"),"FAIL")</f>
        <v>PASS</v>
      </c>
      <c r="L47" s="4" t="str">
        <f aca="false">IF(F47="FAIL","רווחיות; ","")&amp;IF(G47="FAIL","תזרים; ","")&amp;IF(H47="FAIL","תשואה על ההון; ","")&amp;IF(I47="FAIL","מאזן; ","")&amp;IF(J47="FAIL","צמיחה; ","")&amp;IF(K47="FAIL","דילול; ","")</f>
        <v/>
      </c>
      <c r="M47" s="4" t="s">
        <v>29</v>
      </c>
      <c r="N47" s="5" t="n">
        <f aca="false">IF(M47="EXTREME",Rules!$B$23,IF(M47="HIGH",Rules!$B$22,Rules!$B$21))</f>
        <v>0.1</v>
      </c>
      <c r="O47" s="6" t="n">
        <v>98.1046941673128</v>
      </c>
      <c r="P47" s="4" t="s">
        <v>30</v>
      </c>
      <c r="Q47" s="4" t="s">
        <v>28</v>
      </c>
      <c r="R47" s="4" t="str">
        <f aca="false">IF(Q47="כן",P47,"לא רלוונטי (SMA200 יורד)")</f>
        <v>לא רלוונטי (SMA200 יורד)</v>
      </c>
      <c r="S47" s="4" t="str">
        <f aca="false">IF(NOT(ISNUMBER(T47)),"n/a",IF(AND(T47&gt;Rules!$B$18,ISNUMBER(U47),U47&lt;Rules!$B$19),"יקרה",IF(T47&lt;Rules!$B$20,"זולה","הוגנת")))</f>
        <v>הוגנת</v>
      </c>
      <c r="T47" s="7" t="n">
        <f aca="false">Data!AA47</f>
        <v>0.961381701683547</v>
      </c>
      <c r="U47" s="8" t="n">
        <f aca="false">Data!AC47</f>
        <v>0.0375720120698731</v>
      </c>
      <c r="V47" s="9" t="n">
        <v>0.0202</v>
      </c>
      <c r="W47" s="5" t="n">
        <v>-0.2834</v>
      </c>
    </row>
    <row r="48" customFormat="false" ht="15" hidden="false" customHeight="false" outlineLevel="0" collapsed="false">
      <c r="A48" s="2" t="str">
        <f aca="false">Data!A48</f>
        <v>TSM</v>
      </c>
      <c r="B48" s="2" t="str">
        <f aca="false">Data!B48</f>
        <v>TSMC Ltd. (Taiwan)</v>
      </c>
      <c r="C48" s="2" t="str">
        <f aca="false">Data!F48</f>
        <v>STD</v>
      </c>
      <c r="D48" s="3" t="str">
        <f aca="false">IF(E48=0,"CORE",IF(E48=1,"WATCH","NON-CORE"))</f>
        <v>CORE</v>
      </c>
      <c r="E48" s="4" t="n">
        <f aca="false">COUNTIF(F48:K48,"FAIL")</f>
        <v>0</v>
      </c>
      <c r="F48" s="3" t="str">
        <f aca="false">IF(C48="FIN",IF(Data!M48=Data!H48,"PASS","FAIL"),IF(AND(ISNUMBER(Data!L48),Data!L48&gt;=Rules!$B$5,IF(Data!H48&lt;5,Data!M48=Data!H48,Data!M48&gt;=Rules!$B$6)),"PASS","FAIL"))</f>
        <v>PASS</v>
      </c>
      <c r="G48" s="3" t="str">
        <f aca="false">IF(C48="FIN","n/a",IF(C48="UTIL/REIT",IF(Data!Q48=Data!H48,"PASS","FAIL"),IF(AND(ISNUMBER(Data!N48),Data!N48&gt;0,IF(Data!H48&lt;5,Data!P48=Data!H48,Data!P48&gt;=Rules!$B$7)),"PASS","FAIL")))</f>
        <v>PASS</v>
      </c>
      <c r="H48" s="3" t="str">
        <f aca="false">IF(C48="FIN",IF(AND(ISNUMBER(Data!S48),Data!S48&gt;=Rules!$B$15),"PASS","FAIL"),IF(AND(ISNUMBER(Data!R48),Data!R48&gt;=Rules!$B$8),"PASS","FAIL"))</f>
        <v>PASS</v>
      </c>
      <c r="I48" s="3" t="str">
        <f aca="false">IF(C48="FIN","n/a",IF(C48="UTIL/REIT",IF(AND(Data!U48&lt;=Rules!$B$16,Data!V48&gt;=Rules!$B$17),"PASS","FAIL"),IF(AND(Data!U48&lt;=Rules!$B$9,Data!V48&gt;=Rules!$B$10),"PASS","FAIL")))</f>
        <v>PASS</v>
      </c>
      <c r="J48" s="3" t="str">
        <f aca="false">IF(AND(ISNUMBER(Data!J48),ISNUMBER(Data!K48)),IF(AND(Data!J48&gt;=Rules!$B$11,Data!K48&gt;=Rules!$B$12),"PASS","FAIL"),"FAIL")</f>
        <v>PASS</v>
      </c>
      <c r="K48" s="3" t="str">
        <f aca="false">IF(AND(ISNUMBER(Data!W48),ISNUMBER(Data!X48)),IF(AND(Data!W48&lt;=Rules!$B$13,Data!X48&lt;=Rules!$B$14),"PASS","FAIL"),"FAIL")</f>
        <v>PASS</v>
      </c>
      <c r="L48" s="4" t="str">
        <f aca="false">IF(F48="FAIL","רווחיות; ","")&amp;IF(G48="FAIL","תזרים; ","")&amp;IF(H48="FAIL","תשואה על ההון; ","")&amp;IF(I48="FAIL","מאזן; ","")&amp;IF(J48="FAIL","צמיחה; ","")&amp;IF(K48="FAIL","דילול; ","")</f>
        <v/>
      </c>
      <c r="M48" s="4" t="s">
        <v>23</v>
      </c>
      <c r="N48" s="5" t="n">
        <f aca="false">IF(M48="EXTREME",Rules!$B$23,IF(M48="HIGH",Rules!$B$22,Rules!$B$21))</f>
        <v>0.06</v>
      </c>
      <c r="O48" s="6" t="n">
        <v>40.2501198990763</v>
      </c>
      <c r="P48" s="4" t="s">
        <v>24</v>
      </c>
      <c r="Q48" s="4" t="s">
        <v>25</v>
      </c>
      <c r="R48" s="4" t="str">
        <f aca="false">IF(Q48="כן",P48,"לא רלוונטי (SMA200 יורד)")</f>
        <v>Q2</v>
      </c>
      <c r="S48" s="4" t="str">
        <f aca="false">IF(NOT(ISNUMBER(T48)),"n/a",IF(AND(T48&gt;Rules!$B$18,ISNUMBER(U48),U48&lt;Rules!$B$19),"יקרה",IF(T48&lt;Rules!$B$20,"זולה","הוגנת")))</f>
        <v>הוגנת</v>
      </c>
      <c r="T48" s="7" t="n">
        <f aca="false">Data!AA48</f>
        <v>1.23346881695502</v>
      </c>
      <c r="U48" s="8" t="n">
        <f aca="false">Data!AC48</f>
        <v>0.0173213472575809</v>
      </c>
      <c r="V48" s="9" t="n">
        <v>0.0251</v>
      </c>
      <c r="W48" s="5" t="n">
        <v>-0.5715</v>
      </c>
    </row>
    <row r="49" customFormat="false" ht="15" hidden="false" customHeight="false" outlineLevel="0" collapsed="false">
      <c r="A49" s="2" t="str">
        <f aca="false">Data!A49</f>
        <v>V</v>
      </c>
      <c r="B49" s="2" t="str">
        <f aca="false">Data!B49</f>
        <v>Visa Inc.</v>
      </c>
      <c r="C49" s="2" t="str">
        <f aca="false">Data!F49</f>
        <v>STD</v>
      </c>
      <c r="D49" s="3" t="str">
        <f aca="false">IF(E49=0,"CORE",IF(E49=1,"WATCH","NON-CORE"))</f>
        <v>CORE</v>
      </c>
      <c r="E49" s="4" t="n">
        <f aca="false">COUNTIF(F49:K49,"FAIL")</f>
        <v>0</v>
      </c>
      <c r="F49" s="3" t="str">
        <f aca="false">IF(C49="FIN",IF(Data!M49=Data!H49,"PASS","FAIL"),IF(AND(ISNUMBER(Data!L49),Data!L49&gt;=Rules!$B$5,IF(Data!H49&lt;5,Data!M49=Data!H49,Data!M49&gt;=Rules!$B$6)),"PASS","FAIL"))</f>
        <v>PASS</v>
      </c>
      <c r="G49" s="3" t="str">
        <f aca="false">IF(C49="FIN","n/a",IF(C49="UTIL/REIT",IF(Data!Q49=Data!H49,"PASS","FAIL"),IF(AND(ISNUMBER(Data!N49),Data!N49&gt;0,IF(Data!H49&lt;5,Data!P49=Data!H49,Data!P49&gt;=Rules!$B$7)),"PASS","FAIL")))</f>
        <v>PASS</v>
      </c>
      <c r="H49" s="3" t="str">
        <f aca="false">IF(C49="FIN",IF(AND(ISNUMBER(Data!S49),Data!S49&gt;=Rules!$B$15),"PASS","FAIL"),IF(AND(ISNUMBER(Data!R49),Data!R49&gt;=Rules!$B$8),"PASS","FAIL"))</f>
        <v>PASS</v>
      </c>
      <c r="I49" s="3" t="str">
        <f aca="false">IF(C49="FIN","n/a",IF(C49="UTIL/REIT",IF(AND(Data!U49&lt;=Rules!$B$16,Data!V49&gt;=Rules!$B$17),"PASS","FAIL"),IF(AND(Data!U49&lt;=Rules!$B$9,Data!V49&gt;=Rules!$B$10),"PASS","FAIL")))</f>
        <v>PASS</v>
      </c>
      <c r="J49" s="3" t="str">
        <f aca="false">IF(AND(ISNUMBER(Data!J49),ISNUMBER(Data!K49)),IF(AND(Data!J49&gt;=Rules!$B$11,Data!K49&gt;=Rules!$B$12),"PASS","FAIL"),"FAIL")</f>
        <v>PASS</v>
      </c>
      <c r="K49" s="3" t="str">
        <f aca="false">IF(AND(ISNUMBER(Data!W49),ISNUMBER(Data!X49)),IF(AND(Data!W49&lt;=Rules!$B$13,Data!X49&lt;=Rules!$B$14),"PASS","FAIL"),"FAIL")</f>
        <v>PASS</v>
      </c>
      <c r="L49" s="4" t="str">
        <f aca="false">IF(F49="FAIL","רווחיות; ","")&amp;IF(G49="FAIL","תזרים; ","")&amp;IF(H49="FAIL","תשואה על ההון; ","")&amp;IF(I49="FAIL","מאזן; ","")&amp;IF(J49="FAIL","צמיחה; ","")&amp;IF(K49="FAIL","דילול; ","")</f>
        <v/>
      </c>
      <c r="M49" s="4" t="s">
        <v>29</v>
      </c>
      <c r="N49" s="5" t="n">
        <f aca="false">IF(M49="EXTREME",Rules!$B$23,IF(M49="HIGH",Rules!$B$22,Rules!$B$21))</f>
        <v>0.1</v>
      </c>
      <c r="O49" s="6" t="n">
        <v>57.6932521887679</v>
      </c>
      <c r="P49" s="4" t="s">
        <v>27</v>
      </c>
      <c r="Q49" s="4" t="s">
        <v>25</v>
      </c>
      <c r="R49" s="4" t="str">
        <f aca="false">IF(Q49="כן",P49,"לא רלוונטי (SMA200 יורד)")</f>
        <v>Q3</v>
      </c>
      <c r="S49" s="4" t="str">
        <f aca="false">IF(NOT(ISNUMBER(T49)),"n/a",IF(AND(T49&gt;Rules!$B$18,ISNUMBER(U49),U49&lt;Rules!$B$19),"יקרה",IF(T49&lt;Rules!$B$20,"זולה","הוגנת")))</f>
        <v>הוגנת</v>
      </c>
      <c r="T49" s="7" t="n">
        <f aca="false">Data!AA49</f>
        <v>1.18251122510419</v>
      </c>
      <c r="U49" s="8" t="n">
        <f aca="false">Data!AC49</f>
        <v>0.02864549020615</v>
      </c>
      <c r="V49" s="9" t="n">
        <v>0.0167</v>
      </c>
      <c r="W49" s="5" t="n">
        <v>-0.2443</v>
      </c>
    </row>
    <row r="50" customFormat="false" ht="15" hidden="false" customHeight="false" outlineLevel="0" collapsed="false">
      <c r="A50" s="2" t="str">
        <f aca="false">Data!A50</f>
        <v>VRTX</v>
      </c>
      <c r="B50" s="2" t="str">
        <f aca="false">Data!B50</f>
        <v>Vertex Pharmaceuticals Inc.</v>
      </c>
      <c r="C50" s="2" t="str">
        <f aca="false">Data!F50</f>
        <v>STD</v>
      </c>
      <c r="D50" s="3" t="str">
        <f aca="false">IF(E50=0,"CORE",IF(E50=1,"WATCH","NON-CORE"))</f>
        <v>CORE</v>
      </c>
      <c r="E50" s="4" t="n">
        <f aca="false">COUNTIF(F50:K50,"FAIL")</f>
        <v>0</v>
      </c>
      <c r="F50" s="3" t="str">
        <f aca="false">IF(C50="FIN",IF(Data!M50=Data!H50,"PASS","FAIL"),IF(AND(ISNUMBER(Data!L50),Data!L50&gt;=Rules!$B$5,IF(Data!H50&lt;5,Data!M50=Data!H50,Data!M50&gt;=Rules!$B$6)),"PASS","FAIL"))</f>
        <v>PASS</v>
      </c>
      <c r="G50" s="3" t="str">
        <f aca="false">IF(C50="FIN","n/a",IF(C50="UTIL/REIT",IF(Data!Q50=Data!H50,"PASS","FAIL"),IF(AND(ISNUMBER(Data!N50),Data!N50&gt;0,IF(Data!H50&lt;5,Data!P50=Data!H50,Data!P50&gt;=Rules!$B$7)),"PASS","FAIL")))</f>
        <v>PASS</v>
      </c>
      <c r="H50" s="3" t="str">
        <f aca="false">IF(C50="FIN",IF(AND(ISNUMBER(Data!S50),Data!S50&gt;=Rules!$B$15),"PASS","FAIL"),IF(AND(ISNUMBER(Data!R50),Data!R50&gt;=Rules!$B$8),"PASS","FAIL"))</f>
        <v>PASS</v>
      </c>
      <c r="I50" s="3" t="str">
        <f aca="false">IF(C50="FIN","n/a",IF(C50="UTIL/REIT",IF(AND(Data!U50&lt;=Rules!$B$16,Data!V50&gt;=Rules!$B$17),"PASS","FAIL"),IF(AND(Data!U50&lt;=Rules!$B$9,Data!V50&gt;=Rules!$B$10),"PASS","FAIL")))</f>
        <v>PASS</v>
      </c>
      <c r="J50" s="3" t="str">
        <f aca="false">IF(AND(ISNUMBER(Data!J50),ISNUMBER(Data!K50)),IF(AND(Data!J50&gt;=Rules!$B$11,Data!K50&gt;=Rules!$B$12),"PASS","FAIL"),"FAIL")</f>
        <v>PASS</v>
      </c>
      <c r="K50" s="3" t="str">
        <f aca="false">IF(AND(ISNUMBER(Data!W50),ISNUMBER(Data!X50)),IF(AND(Data!W50&lt;=Rules!$B$13,Data!X50&lt;=Rules!$B$14),"PASS","FAIL"),"FAIL")</f>
        <v>PASS</v>
      </c>
      <c r="L50" s="4" t="str">
        <f aca="false">IF(F50="FAIL","רווחיות; ","")&amp;IF(G50="FAIL","תזרים; ","")&amp;IF(H50="FAIL","תשואה על ההון; ","")&amp;IF(I50="FAIL","מאזן; ","")&amp;IF(J50="FAIL","צמיחה; ","")&amp;IF(K50="FAIL","דילול; ","")</f>
        <v/>
      </c>
      <c r="M50" s="4" t="s">
        <v>29</v>
      </c>
      <c r="N50" s="5" t="n">
        <f aca="false">IF(M50="EXTREME",Rules!$B$23,IF(M50="HIGH",Rules!$B$22,Rules!$B$21))</f>
        <v>0.1</v>
      </c>
      <c r="O50" s="6" t="n">
        <v>40.0299889863457</v>
      </c>
      <c r="P50" s="4" t="s">
        <v>24</v>
      </c>
      <c r="Q50" s="4" t="s">
        <v>25</v>
      </c>
      <c r="R50" s="4" t="str">
        <f aca="false">IF(Q50="כן",P50,"לא רלוונטי (SMA200 יורד)")</f>
        <v>Q2</v>
      </c>
      <c r="S50" s="4" t="str">
        <f aca="false">IF(NOT(ISNUMBER(T50)),"n/a",IF(AND(T50&gt;Rules!$B$18,ISNUMBER(U50),U50&lt;Rules!$B$19),"יקרה",IF(T50&lt;Rules!$B$20,"זולה","הוגנת")))</f>
        <v>הוגנת</v>
      </c>
      <c r="T50" s="7" t="n">
        <f aca="false">Data!AA50</f>
        <v>1.07879903700126</v>
      </c>
      <c r="U50" s="8" t="n">
        <f aca="false">Data!AC50</f>
        <v>0.0301338064609372</v>
      </c>
      <c r="V50" s="9" t="n">
        <v>0.0243</v>
      </c>
      <c r="W50" s="5" t="n">
        <v>-0.2914</v>
      </c>
    </row>
    <row r="51" customFormat="false" ht="15" hidden="false" customHeight="false" outlineLevel="0" collapsed="false">
      <c r="A51" s="2" t="str">
        <f aca="false">Data!A51</f>
        <v>WFC</v>
      </c>
      <c r="B51" s="2" t="str">
        <f aca="false">Data!B51</f>
        <v>Wells Fargo &amp; Co.</v>
      </c>
      <c r="C51" s="2" t="str">
        <f aca="false">Data!F51</f>
        <v>FIN</v>
      </c>
      <c r="D51" s="3" t="str">
        <f aca="false">IF(E51=0,"CORE",IF(E51=1,"WATCH","NON-CORE"))</f>
        <v>CORE</v>
      </c>
      <c r="E51" s="4" t="n">
        <f aca="false">COUNTIF(F51:K51,"FAIL")</f>
        <v>0</v>
      </c>
      <c r="F51" s="3" t="str">
        <f aca="false">IF(C51="FIN",IF(Data!M51=Data!H51,"PASS","FAIL"),IF(AND(ISNUMBER(Data!L51),Data!L51&gt;=Rules!$B$5,IF(Data!H51&lt;5,Data!M51=Data!H51,Data!M51&gt;=Rules!$B$6)),"PASS","FAIL"))</f>
        <v>PASS</v>
      </c>
      <c r="G51" s="3" t="str">
        <f aca="false">IF(C51="FIN","n/a",IF(C51="UTIL/REIT",IF(Data!Q51=Data!H51,"PASS","FAIL"),IF(AND(ISNUMBER(Data!N51),Data!N51&gt;0,IF(Data!H51&lt;5,Data!P51=Data!H51,Data!P51&gt;=Rules!$B$7)),"PASS","FAIL")))</f>
        <v>n/a</v>
      </c>
      <c r="H51" s="3" t="str">
        <f aca="false">IF(C51="FIN",IF(AND(ISNUMBER(Data!S51),Data!S51&gt;=Rules!$B$15),"PASS","FAIL"),IF(AND(ISNUMBER(Data!R51),Data!R51&gt;=Rules!$B$8),"PASS","FAIL"))</f>
        <v>PASS</v>
      </c>
      <c r="I51" s="3" t="str">
        <f aca="false">IF(C51="FIN","n/a",IF(C51="UTIL/REIT",IF(AND(Data!U51&lt;=Rules!$B$16,Data!V51&gt;=Rules!$B$17),"PASS","FAIL"),IF(AND(Data!U51&lt;=Rules!$B$9,Data!V51&gt;=Rules!$B$10),"PASS","FAIL")))</f>
        <v>n/a</v>
      </c>
      <c r="J51" s="3" t="str">
        <f aca="false">IF(AND(ISNUMBER(Data!J51),ISNUMBER(Data!K51)),IF(AND(Data!J51&gt;=Rules!$B$11,Data!K51&gt;=Rules!$B$12),"PASS","FAIL"),"FAIL")</f>
        <v>PASS</v>
      </c>
      <c r="K51" s="3" t="str">
        <f aca="false">IF(AND(ISNUMBER(Data!W51),ISNUMBER(Data!X51)),IF(AND(Data!W51&lt;=Rules!$B$13,Data!X51&lt;=Rules!$B$14),"PASS","FAIL"),"FAIL")</f>
        <v>PASS</v>
      </c>
      <c r="L51" s="4" t="str">
        <f aca="false">IF(F51="FAIL","רווחיות; ","")&amp;IF(G51="FAIL","תזרים; ","")&amp;IF(H51="FAIL","תשואה על ההון; ","")&amp;IF(I51="FAIL","מאזן; ","")&amp;IF(J51="FAIL","צמיחה; ","")&amp;IF(K51="FAIL","דילול; ","")</f>
        <v/>
      </c>
      <c r="M51" s="4" t="s">
        <v>29</v>
      </c>
      <c r="N51" s="5" t="n">
        <f aca="false">IF(M51="EXTREME",Rules!$B$23,IF(M51="HIGH",Rules!$B$22,Rules!$B$21))</f>
        <v>0.1</v>
      </c>
      <c r="O51" s="6" t="n">
        <v>81.3884881721694</v>
      </c>
      <c r="P51" s="4" t="s">
        <v>30</v>
      </c>
      <c r="Q51" s="4" t="s">
        <v>28</v>
      </c>
      <c r="R51" s="4" t="str">
        <f aca="false">IF(Q51="כן",P51,"לא רלוונטי (SMA200 יורד)")</f>
        <v>לא רלוונטי (SMA200 יורד)</v>
      </c>
      <c r="S51" s="4" t="str">
        <f aca="false">IF(NOT(ISNUMBER(T51)),"n/a",IF(AND(T51&gt;Rules!$B$18,ISNUMBER(U51),U51&lt;Rules!$B$19),"יקרה",IF(T51&lt;Rules!$B$20,"זולה","הוגנת")))</f>
        <v>הוגנת</v>
      </c>
      <c r="T51" s="7" t="n">
        <f aca="false">Data!AA51</f>
        <v>0.891914307258375</v>
      </c>
      <c r="U51" s="8" t="n">
        <f aca="false">Data!AC51</f>
        <v>0.0761018693191562</v>
      </c>
      <c r="V51" s="9" t="n">
        <v>0.0216</v>
      </c>
      <c r="W51" s="5" t="n">
        <v>-0.3866</v>
      </c>
    </row>
    <row r="52" customFormat="false" ht="15" hidden="false" customHeight="false" outlineLevel="0" collapsed="false">
      <c r="A52" s="2" t="str">
        <f aca="false">Data!A52</f>
        <v>AAPL</v>
      </c>
      <c r="B52" s="2" t="str">
        <f aca="false">Data!B52</f>
        <v>Apple Inc.</v>
      </c>
      <c r="C52" s="2" t="str">
        <f aca="false">Data!F52</f>
        <v>STD</v>
      </c>
      <c r="D52" s="3" t="str">
        <f aca="false">IF(E52=0,"CORE",IF(E52=1,"WATCH","NON-CORE"))</f>
        <v>WATCH</v>
      </c>
      <c r="E52" s="4" t="n">
        <f aca="false">COUNTIF(F52:K52,"FAIL")</f>
        <v>1</v>
      </c>
      <c r="F52" s="3" t="str">
        <f aca="false">IF(C52="FIN",IF(Data!M52=Data!H52,"PASS","FAIL"),IF(AND(ISNUMBER(Data!L52),Data!L52&gt;=Rules!$B$5,IF(Data!H52&lt;5,Data!M52=Data!H52,Data!M52&gt;=Rules!$B$6)),"PASS","FAIL"))</f>
        <v>PASS</v>
      </c>
      <c r="G52" s="3" t="str">
        <f aca="false">IF(C52="FIN","n/a",IF(C52="UTIL/REIT",IF(Data!Q52=Data!H52,"PASS","FAIL"),IF(AND(ISNUMBER(Data!N52),Data!N52&gt;0,IF(Data!H52&lt;5,Data!P52=Data!H52,Data!P52&gt;=Rules!$B$7)),"PASS","FAIL")))</f>
        <v>PASS</v>
      </c>
      <c r="H52" s="3" t="str">
        <f aca="false">IF(C52="FIN",IF(AND(ISNUMBER(Data!S52),Data!S52&gt;=Rules!$B$15),"PASS","FAIL"),IF(AND(ISNUMBER(Data!R52),Data!R52&gt;=Rules!$B$8),"PASS","FAIL"))</f>
        <v>PASS</v>
      </c>
      <c r="I52" s="3" t="str">
        <f aca="false">IF(C52="FIN","n/a",IF(C52="UTIL/REIT",IF(AND(Data!U52&lt;=Rules!$B$16,Data!V52&gt;=Rules!$B$17),"PASS","FAIL"),IF(AND(Data!U52&lt;=Rules!$B$9,Data!V52&gt;=Rules!$B$10),"PASS","FAIL")))</f>
        <v>PASS</v>
      </c>
      <c r="J52" s="3" t="str">
        <f aca="false">IF(AND(ISNUMBER(Data!J52),ISNUMBER(Data!K52)),IF(AND(Data!J52&gt;=Rules!$B$11,Data!K52&gt;=Rules!$B$12),"PASS","FAIL"),"FAIL")</f>
        <v>FAIL</v>
      </c>
      <c r="K52" s="3" t="str">
        <f aca="false">IF(AND(ISNUMBER(Data!W52),ISNUMBER(Data!X52)),IF(AND(Data!W52&lt;=Rules!$B$13,Data!X52&lt;=Rules!$B$14),"PASS","FAIL"),"FAIL")</f>
        <v>PASS</v>
      </c>
      <c r="L52" s="4" t="str">
        <f aca="false">IF(F52="FAIL","רווחיות; ","")&amp;IF(G52="FAIL","תזרים; ","")&amp;IF(H52="FAIL","תשואה על ההון; ","")&amp;IF(I52="FAIL","מאזן; ","")&amp;IF(J52="FAIL","צמיחה; ","")&amp;IF(K52="FAIL","דילול; ","")</f>
        <v>צמיחה; </v>
      </c>
      <c r="M52" s="4" t="s">
        <v>29</v>
      </c>
      <c r="N52" s="5" t="n">
        <f aca="false">IF(M52="EXTREME",Rules!$B$23,IF(M52="HIGH",Rules!$B$22,Rules!$B$21))</f>
        <v>0.1</v>
      </c>
      <c r="O52" s="6" t="n">
        <v>22.6889808483736</v>
      </c>
      <c r="P52" s="4" t="s">
        <v>32</v>
      </c>
      <c r="Q52" s="4" t="s">
        <v>25</v>
      </c>
      <c r="R52" s="4" t="str">
        <f aca="false">IF(Q52="כן",P52,"לא רלוונטי (SMA200 יורד)")</f>
        <v>Q1</v>
      </c>
      <c r="S52" s="4" t="str">
        <f aca="false">IF(NOT(ISNUMBER(T52)),"n/a",IF(AND(T52&gt;Rules!$B$18,ISNUMBER(U52),U52&lt;Rules!$B$19),"יקרה",IF(T52&lt;Rules!$B$20,"זולה","הוגנת")))</f>
        <v>הוגנת</v>
      </c>
      <c r="T52" s="7" t="n">
        <f aca="false">Data!AA52</f>
        <v>1.41156778545614</v>
      </c>
      <c r="U52" s="8" t="n">
        <f aca="false">Data!AC52</f>
        <v>0.027293215930405</v>
      </c>
      <c r="V52" s="9" t="n">
        <v>0.0215</v>
      </c>
      <c r="W52" s="5" t="n">
        <v>-0.3332</v>
      </c>
    </row>
    <row r="53" customFormat="false" ht="15" hidden="false" customHeight="false" outlineLevel="0" collapsed="false">
      <c r="A53" s="2" t="str">
        <f aca="false">Data!A53</f>
        <v>ABT</v>
      </c>
      <c r="B53" s="2" t="str">
        <f aca="false">Data!B53</f>
        <v>Abbott Laboratories Inc.</v>
      </c>
      <c r="C53" s="2" t="str">
        <f aca="false">Data!F53</f>
        <v>STD</v>
      </c>
      <c r="D53" s="3" t="str">
        <f aca="false">IF(E53=0,"CORE",IF(E53=1,"WATCH","NON-CORE"))</f>
        <v>WATCH</v>
      </c>
      <c r="E53" s="4" t="n">
        <f aca="false">COUNTIF(F53:K53,"FAIL")</f>
        <v>1</v>
      </c>
      <c r="F53" s="3" t="str">
        <f aca="false">IF(C53="FIN",IF(Data!M53=Data!H53,"PASS","FAIL"),IF(AND(ISNUMBER(Data!L53),Data!L53&gt;=Rules!$B$5,IF(Data!H53&lt;5,Data!M53=Data!H53,Data!M53&gt;=Rules!$B$6)),"PASS","FAIL"))</f>
        <v>PASS</v>
      </c>
      <c r="G53" s="3" t="str">
        <f aca="false">IF(C53="FIN","n/a",IF(C53="UTIL/REIT",IF(Data!Q53=Data!H53,"PASS","FAIL"),IF(AND(ISNUMBER(Data!N53),Data!N53&gt;0,IF(Data!H53&lt;5,Data!P53=Data!H53,Data!P53&gt;=Rules!$B$7)),"PASS","FAIL")))</f>
        <v>PASS</v>
      </c>
      <c r="H53" s="3" t="str">
        <f aca="false">IF(C53="FIN",IF(AND(ISNUMBER(Data!S53),Data!S53&gt;=Rules!$B$15),"PASS","FAIL"),IF(AND(ISNUMBER(Data!R53),Data!R53&gt;=Rules!$B$8),"PASS","FAIL"))</f>
        <v>PASS</v>
      </c>
      <c r="I53" s="3" t="str">
        <f aca="false">IF(C53="FIN","n/a",IF(C53="UTIL/REIT",IF(AND(Data!U53&lt;=Rules!$B$16,Data!V53&gt;=Rules!$B$17),"PASS","FAIL"),IF(AND(Data!U53&lt;=Rules!$B$9,Data!V53&gt;=Rules!$B$10),"PASS","FAIL")))</f>
        <v>PASS</v>
      </c>
      <c r="J53" s="3" t="str">
        <f aca="false">IF(AND(ISNUMBER(Data!J53),ISNUMBER(Data!K53)),IF(AND(Data!J53&gt;=Rules!$B$11,Data!K53&gt;=Rules!$B$12),"PASS","FAIL"),"FAIL")</f>
        <v>FAIL</v>
      </c>
      <c r="K53" s="3" t="str">
        <f aca="false">IF(AND(ISNUMBER(Data!W53),ISNUMBER(Data!X53)),IF(AND(Data!W53&lt;=Rules!$B$13,Data!X53&lt;=Rules!$B$14),"PASS","FAIL"),"FAIL")</f>
        <v>PASS</v>
      </c>
      <c r="L53" s="4" t="str">
        <f aca="false">IF(F53="FAIL","רווחיות; ","")&amp;IF(G53="FAIL","תזרים; ","")&amp;IF(H53="FAIL","תשואה על ההון; ","")&amp;IF(I53="FAIL","מאזן; ","")&amp;IF(J53="FAIL","צמיחה; ","")&amp;IF(K53="FAIL","דילול; ","")</f>
        <v>צמיחה; </v>
      </c>
      <c r="M53" s="4" t="s">
        <v>29</v>
      </c>
      <c r="N53" s="5" t="n">
        <f aca="false">IF(M53="EXTREME",Rules!$B$23,IF(M53="HIGH",Rules!$B$22,Rules!$B$21))</f>
        <v>0.1</v>
      </c>
      <c r="O53" s="6" t="n">
        <v>81.2978293054194</v>
      </c>
      <c r="P53" s="4" t="s">
        <v>30</v>
      </c>
      <c r="Q53" s="4" t="s">
        <v>28</v>
      </c>
      <c r="R53" s="4" t="str">
        <f aca="false">IF(Q53="כן",P53,"לא רלוונטי (SMA200 יורד)")</f>
        <v>לא רלוונטי (SMA200 יורד)</v>
      </c>
      <c r="S53" s="4" t="str">
        <f aca="false">IF(NOT(ISNUMBER(T53)),"n/a",IF(AND(T53&gt;Rules!$B$18,ISNUMBER(U53),U53&lt;Rules!$B$19),"יקרה",IF(T53&lt;Rules!$B$20,"זולה","הוגנת")))</f>
        <v>הוגנת</v>
      </c>
      <c r="T53" s="7" t="n">
        <f aca="false">Data!AA53</f>
        <v>0.981947471603134</v>
      </c>
      <c r="U53" s="8" t="n">
        <f aca="false">Data!AC53</f>
        <v>0.0499612928550489</v>
      </c>
      <c r="V53" s="9" t="n">
        <v>0.0223</v>
      </c>
      <c r="W53" s="5" t="n">
        <v>-0.4164</v>
      </c>
    </row>
    <row r="54" customFormat="false" ht="15" hidden="false" customHeight="false" outlineLevel="0" collapsed="false">
      <c r="A54" s="2" t="str">
        <f aca="false">Data!A54</f>
        <v>AMD</v>
      </c>
      <c r="B54" s="2" t="str">
        <f aca="false">Data!B54</f>
        <v>Advanced Micro Devices Inc.</v>
      </c>
      <c r="C54" s="2" t="str">
        <f aca="false">Data!F54</f>
        <v>STD</v>
      </c>
      <c r="D54" s="3" t="str">
        <f aca="false">IF(E54=0,"CORE",IF(E54=1,"WATCH","NON-CORE"))</f>
        <v>WATCH</v>
      </c>
      <c r="E54" s="4" t="n">
        <f aca="false">COUNTIF(F54:K54,"FAIL")</f>
        <v>1</v>
      </c>
      <c r="F54" s="3" t="str">
        <f aca="false">IF(C54="FIN",IF(Data!M54=Data!H54,"PASS","FAIL"),IF(AND(ISNUMBER(Data!L54),Data!L54&gt;=Rules!$B$5,IF(Data!H54&lt;5,Data!M54=Data!H54,Data!M54&gt;=Rules!$B$6)),"PASS","FAIL"))</f>
        <v>PASS</v>
      </c>
      <c r="G54" s="3" t="str">
        <f aca="false">IF(C54="FIN","n/a",IF(C54="UTIL/REIT",IF(Data!Q54=Data!H54,"PASS","FAIL"),IF(AND(ISNUMBER(Data!N54),Data!N54&gt;0,IF(Data!H54&lt;5,Data!P54=Data!H54,Data!P54&gt;=Rules!$B$7)),"PASS","FAIL")))</f>
        <v>PASS</v>
      </c>
      <c r="H54" s="3" t="str">
        <f aca="false">IF(C54="FIN",IF(AND(ISNUMBER(Data!S54),Data!S54&gt;=Rules!$B$15),"PASS","FAIL"),IF(AND(ISNUMBER(Data!R54),Data!R54&gt;=Rules!$B$8),"PASS","FAIL"))</f>
        <v>FAIL</v>
      </c>
      <c r="I54" s="3" t="str">
        <f aca="false">IF(C54="FIN","n/a",IF(C54="UTIL/REIT",IF(AND(Data!U54&lt;=Rules!$B$16,Data!V54&gt;=Rules!$B$17),"PASS","FAIL"),IF(AND(Data!U54&lt;=Rules!$B$9,Data!V54&gt;=Rules!$B$10),"PASS","FAIL")))</f>
        <v>PASS</v>
      </c>
      <c r="J54" s="3" t="str">
        <f aca="false">IF(AND(ISNUMBER(Data!J54),ISNUMBER(Data!K54)),IF(AND(Data!J54&gt;=Rules!$B$11,Data!K54&gt;=Rules!$B$12),"PASS","FAIL"),"FAIL")</f>
        <v>PASS</v>
      </c>
      <c r="K54" s="3" t="str">
        <f aca="false">IF(AND(ISNUMBER(Data!W54),ISNUMBER(Data!X54)),IF(AND(Data!W54&lt;=Rules!$B$13,Data!X54&lt;=Rules!$B$14),"PASS","FAIL"),"FAIL")</f>
        <v>PASS</v>
      </c>
      <c r="L54" s="4" t="str">
        <f aca="false">IF(F54="FAIL","רווחיות; ","")&amp;IF(G54="FAIL","תזרים; ","")&amp;IF(H54="FAIL","תשואה על ההון; ","")&amp;IF(I54="FAIL","מאזן; ","")&amp;IF(J54="FAIL","צמיחה; ","")&amp;IF(K54="FAIL","דילול; ","")</f>
        <v>תשואה על ההון; </v>
      </c>
      <c r="M54" s="4" t="s">
        <v>26</v>
      </c>
      <c r="N54" s="5" t="n">
        <f aca="false">IF(M54="EXTREME",Rules!$B$23,IF(M54="HIGH",Rules!$B$22,Rules!$B$21))</f>
        <v>0.03</v>
      </c>
      <c r="O54" s="6" t="n">
        <v>10.303358880209</v>
      </c>
      <c r="P54" s="4" t="s">
        <v>32</v>
      </c>
      <c r="Q54" s="4" t="s">
        <v>25</v>
      </c>
      <c r="R54" s="4" t="str">
        <f aca="false">IF(Q54="כן",P54,"לא רלוונטי (SMA200 יורד)")</f>
        <v>Q1</v>
      </c>
      <c r="S54" s="4" t="str">
        <f aca="false">IF(NOT(ISNUMBER(T54)),"n/a",IF(AND(T54&gt;Rules!$B$18,ISNUMBER(U54),U54&lt;Rules!$B$19),"יקרה",IF(T54&lt;Rules!$B$20,"זולה","הוגנת")))</f>
        <v>יקרה</v>
      </c>
      <c r="T54" s="7" t="n">
        <f aca="false">Data!AA54</f>
        <v>1.851120159998</v>
      </c>
      <c r="U54" s="8" t="n">
        <f aca="false">Data!AC54</f>
        <v>0.00877503980407742</v>
      </c>
      <c r="V54" s="9" t="n">
        <v>0.0454</v>
      </c>
      <c r="W54" s="5" t="n">
        <v>-0.6543</v>
      </c>
    </row>
    <row r="55" customFormat="false" ht="15" hidden="false" customHeight="false" outlineLevel="0" collapsed="false">
      <c r="A55" s="2" t="str">
        <f aca="false">Data!A55</f>
        <v>AMGN</v>
      </c>
      <c r="B55" s="2" t="str">
        <f aca="false">Data!B55</f>
        <v>Amgen Inc.</v>
      </c>
      <c r="C55" s="2" t="str">
        <f aca="false">Data!F55</f>
        <v>STD</v>
      </c>
      <c r="D55" s="3" t="str">
        <f aca="false">IF(E55=0,"CORE",IF(E55=1,"WATCH","NON-CORE"))</f>
        <v>WATCH</v>
      </c>
      <c r="E55" s="4" t="n">
        <f aca="false">COUNTIF(F55:K55,"FAIL")</f>
        <v>1</v>
      </c>
      <c r="F55" s="3" t="str">
        <f aca="false">IF(C55="FIN",IF(Data!M55=Data!H55,"PASS","FAIL"),IF(AND(ISNUMBER(Data!L55),Data!L55&gt;=Rules!$B$5,IF(Data!H55&lt;5,Data!M55=Data!H55,Data!M55&gt;=Rules!$B$6)),"PASS","FAIL"))</f>
        <v>PASS</v>
      </c>
      <c r="G55" s="3" t="str">
        <f aca="false">IF(C55="FIN","n/a",IF(C55="UTIL/REIT",IF(Data!Q55=Data!H55,"PASS","FAIL"),IF(AND(ISNUMBER(Data!N55),Data!N55&gt;0,IF(Data!H55&lt;5,Data!P55=Data!H55,Data!P55&gt;=Rules!$B$7)),"PASS","FAIL")))</f>
        <v>PASS</v>
      </c>
      <c r="H55" s="3" t="str">
        <f aca="false">IF(C55="FIN",IF(AND(ISNUMBER(Data!S55),Data!S55&gt;=Rules!$B$15),"PASS","FAIL"),IF(AND(ISNUMBER(Data!R55),Data!R55&gt;=Rules!$B$8),"PASS","FAIL"))</f>
        <v>PASS</v>
      </c>
      <c r="I55" s="3" t="str">
        <f aca="false">IF(C55="FIN","n/a",IF(C55="UTIL/REIT",IF(AND(Data!U55&lt;=Rules!$B$16,Data!V55&gt;=Rules!$B$17),"PASS","FAIL"),IF(AND(Data!U55&lt;=Rules!$B$9,Data!V55&gt;=Rules!$B$10),"PASS","FAIL")))</f>
        <v>FAIL</v>
      </c>
      <c r="J55" s="3" t="str">
        <f aca="false">IF(AND(ISNUMBER(Data!J55),ISNUMBER(Data!K55)),IF(AND(Data!J55&gt;=Rules!$B$11,Data!K55&gt;=Rules!$B$12),"PASS","FAIL"),"FAIL")</f>
        <v>PASS</v>
      </c>
      <c r="K55" s="3" t="str">
        <f aca="false">IF(AND(ISNUMBER(Data!W55),ISNUMBER(Data!X55)),IF(AND(Data!W55&lt;=Rules!$B$13,Data!X55&lt;=Rules!$B$14),"PASS","FAIL"),"FAIL")</f>
        <v>PASS</v>
      </c>
      <c r="L55" s="4" t="str">
        <f aca="false">IF(F55="FAIL","רווחיות; ","")&amp;IF(G55="FAIL","תזרים; ","")&amp;IF(H55="FAIL","תשואה על ההון; ","")&amp;IF(I55="FAIL","מאזן; ","")&amp;IF(J55="FAIL","צמיחה; ","")&amp;IF(K55="FAIL","דילול; ","")</f>
        <v>מאזן; </v>
      </c>
      <c r="M55" s="4" t="s">
        <v>29</v>
      </c>
      <c r="N55" s="5" t="n">
        <f aca="false">IF(M55="EXTREME",Rules!$B$23,IF(M55="HIGH",Rules!$B$22,Rules!$B$21))</f>
        <v>0.1</v>
      </c>
      <c r="O55" s="6" t="n">
        <v>19.4115656639376</v>
      </c>
      <c r="P55" s="4" t="s">
        <v>32</v>
      </c>
      <c r="Q55" s="4" t="s">
        <v>25</v>
      </c>
      <c r="R55" s="4" t="str">
        <f aca="false">IF(Q55="כן",P55,"לא רלוונטי (SMA200 יורד)")</f>
        <v>Q1</v>
      </c>
      <c r="S55" s="4" t="str">
        <f aca="false">IF(NOT(ISNUMBER(T55)),"n/a",IF(AND(T55&gt;Rules!$B$18,ISNUMBER(U55),U55&lt;Rules!$B$19),"יקרה",IF(T55&lt;Rules!$B$20,"זולה","הוגנת")))</f>
        <v>הוגנת</v>
      </c>
      <c r="T55" s="7" t="n">
        <f aca="false">Data!AA55</f>
        <v>1.12405312052915</v>
      </c>
      <c r="U55" s="8" t="n">
        <f aca="false">Data!AC55</f>
        <v>0.0451434008491784</v>
      </c>
      <c r="V55" s="9" t="n">
        <v>0.0239</v>
      </c>
      <c r="W55" s="5" t="n">
        <v>-0.2671</v>
      </c>
    </row>
    <row r="56" customFormat="false" ht="15" hidden="false" customHeight="false" outlineLevel="0" collapsed="false">
      <c r="A56" s="2" t="str">
        <f aca="false">Data!A56</f>
        <v>ARM</v>
      </c>
      <c r="B56" s="2" t="str">
        <f aca="false">Data!B56</f>
        <v>ARM Holdings PLC</v>
      </c>
      <c r="C56" s="2" t="str">
        <f aca="false">Data!F56</f>
        <v>STD</v>
      </c>
      <c r="D56" s="3" t="str">
        <f aca="false">IF(E56=0,"CORE",IF(E56=1,"WATCH","NON-CORE"))</f>
        <v>WATCH</v>
      </c>
      <c r="E56" s="4" t="n">
        <f aca="false">COUNTIF(F56:K56,"FAIL")</f>
        <v>1</v>
      </c>
      <c r="F56" s="3" t="str">
        <f aca="false">IF(C56="FIN",IF(Data!M56=Data!H56,"PASS","FAIL"),IF(AND(ISNUMBER(Data!L56),Data!L56&gt;=Rules!$B$5,IF(Data!H56&lt;5,Data!M56=Data!H56,Data!M56&gt;=Rules!$B$6)),"PASS","FAIL"))</f>
        <v>PASS</v>
      </c>
      <c r="G56" s="3" t="str">
        <f aca="false">IF(C56="FIN","n/a",IF(C56="UTIL/REIT",IF(Data!Q56=Data!H56,"PASS","FAIL"),IF(AND(ISNUMBER(Data!N56),Data!N56&gt;0,IF(Data!H56&lt;5,Data!P56=Data!H56,Data!P56&gt;=Rules!$B$7)),"PASS","FAIL")))</f>
        <v>PASS</v>
      </c>
      <c r="H56" s="3" t="str">
        <f aca="false">IF(C56="FIN",IF(AND(ISNUMBER(Data!S56),Data!S56&gt;=Rules!$B$15),"PASS","FAIL"),IF(AND(ISNUMBER(Data!R56),Data!R56&gt;=Rules!$B$8),"PASS","FAIL"))</f>
        <v>PASS</v>
      </c>
      <c r="I56" s="3" t="str">
        <f aca="false">IF(C56="FIN","n/a",IF(C56="UTIL/REIT",IF(AND(Data!U56&lt;=Rules!$B$16,Data!V56&gt;=Rules!$B$17),"PASS","FAIL"),IF(AND(Data!U56&lt;=Rules!$B$9,Data!V56&gt;=Rules!$B$10),"PASS","FAIL")))</f>
        <v>PASS</v>
      </c>
      <c r="J56" s="3" t="str">
        <f aca="false">IF(AND(ISNUMBER(Data!J56),ISNUMBER(Data!K56)),IF(AND(Data!J56&gt;=Rules!$B$11,Data!K56&gt;=Rules!$B$12),"PASS","FAIL"),"FAIL")</f>
        <v>PASS</v>
      </c>
      <c r="K56" s="3" t="str">
        <f aca="false">IF(AND(ISNUMBER(Data!W56),ISNUMBER(Data!X56)),IF(AND(Data!W56&lt;=Rules!$B$13,Data!X56&lt;=Rules!$B$14),"PASS","FAIL"),"FAIL")</f>
        <v>FAIL</v>
      </c>
      <c r="L56" s="4" t="str">
        <f aca="false">IF(F56="FAIL","רווחיות; ","")&amp;IF(G56="FAIL","תזרים; ","")&amp;IF(H56="FAIL","תשואה על ההון; ","")&amp;IF(I56="FAIL","מאזן; ","")&amp;IF(J56="FAIL","צמיחה; ","")&amp;IF(K56="FAIL","דילול; ","")</f>
        <v>דילול; </v>
      </c>
      <c r="M56" s="4" t="s">
        <v>26</v>
      </c>
      <c r="N56" s="5" t="n">
        <f aca="false">IF(M56="EXTREME",Rules!$B$23,IF(M56="HIGH",Rules!$B$22,Rules!$B$21))</f>
        <v>0.03</v>
      </c>
      <c r="O56" s="6" t="n">
        <v>46.518091351959</v>
      </c>
      <c r="P56" s="4" t="s">
        <v>24</v>
      </c>
      <c r="Q56" s="4" t="s">
        <v>25</v>
      </c>
      <c r="R56" s="4" t="str">
        <f aca="false">IF(Q56="כן",P56,"לא רלוונטי (SMA200 יורד)")</f>
        <v>Q2</v>
      </c>
      <c r="S56" s="4" t="str">
        <f aca="false">IF(NOT(ISNUMBER(T56)),"n/a",IF(AND(T56&gt;Rules!$B$18,ISNUMBER(U56),U56&lt;Rules!$B$19),"יקרה",IF(T56&lt;Rules!$B$20,"זולה","הוגנת")))</f>
        <v>יקרה</v>
      </c>
      <c r="T56" s="7" t="n">
        <f aca="false">Data!AA56</f>
        <v>1.81898692201575</v>
      </c>
      <c r="U56" s="8" t="n">
        <f aca="false">Data!AC56</f>
        <v>0.00549358917635112</v>
      </c>
      <c r="V56" s="9" t="n">
        <v>0.0618</v>
      </c>
      <c r="W56" s="5" t="n">
        <v>-0.5397</v>
      </c>
    </row>
    <row r="57" customFormat="false" ht="15" hidden="false" customHeight="false" outlineLevel="0" collapsed="false">
      <c r="A57" s="2" t="str">
        <f aca="false">Data!A57</f>
        <v>AVGO</v>
      </c>
      <c r="B57" s="2" t="str">
        <f aca="false">Data!B57</f>
        <v>Broadcom Inc.</v>
      </c>
      <c r="C57" s="2" t="str">
        <f aca="false">Data!F57</f>
        <v>STD</v>
      </c>
      <c r="D57" s="3" t="str">
        <f aca="false">IF(E57=0,"CORE",IF(E57=1,"WATCH","NON-CORE"))</f>
        <v>WATCH</v>
      </c>
      <c r="E57" s="4" t="n">
        <f aca="false">COUNTIF(F57:K57,"FAIL")</f>
        <v>1</v>
      </c>
      <c r="F57" s="3" t="str">
        <f aca="false">IF(C57="FIN",IF(Data!M57=Data!H57,"PASS","FAIL"),IF(AND(ISNUMBER(Data!L57),Data!L57&gt;=Rules!$B$5,IF(Data!H57&lt;5,Data!M57=Data!H57,Data!M57&gt;=Rules!$B$6)),"PASS","FAIL"))</f>
        <v>PASS</v>
      </c>
      <c r="G57" s="3" t="str">
        <f aca="false">IF(C57="FIN","n/a",IF(C57="UTIL/REIT",IF(Data!Q57=Data!H57,"PASS","FAIL"),IF(AND(ISNUMBER(Data!N57),Data!N57&gt;0,IF(Data!H57&lt;5,Data!P57=Data!H57,Data!P57&gt;=Rules!$B$7)),"PASS","FAIL")))</f>
        <v>PASS</v>
      </c>
      <c r="H57" s="3" t="str">
        <f aca="false">IF(C57="FIN",IF(AND(ISNUMBER(Data!S57),Data!S57&gt;=Rules!$B$15),"PASS","FAIL"),IF(AND(ISNUMBER(Data!R57),Data!R57&gt;=Rules!$B$8),"PASS","FAIL"))</f>
        <v>PASS</v>
      </c>
      <c r="I57" s="3" t="str">
        <f aca="false">IF(C57="FIN","n/a",IF(C57="UTIL/REIT",IF(AND(Data!U57&lt;=Rules!$B$16,Data!V57&gt;=Rules!$B$17),"PASS","FAIL"),IF(AND(Data!U57&lt;=Rules!$B$9,Data!V57&gt;=Rules!$B$10),"PASS","FAIL")))</f>
        <v>PASS</v>
      </c>
      <c r="J57" s="3" t="str">
        <f aca="false">IF(AND(ISNUMBER(Data!J57),ISNUMBER(Data!K57)),IF(AND(Data!J57&gt;=Rules!$B$11,Data!K57&gt;=Rules!$B$12),"PASS","FAIL"),"FAIL")</f>
        <v>PASS</v>
      </c>
      <c r="K57" s="3" t="str">
        <f aca="false">IF(AND(ISNUMBER(Data!W57),ISNUMBER(Data!X57)),IF(AND(Data!W57&lt;=Rules!$B$13,Data!X57&lt;=Rules!$B$14),"PASS","FAIL"),"FAIL")</f>
        <v>FAIL</v>
      </c>
      <c r="L57" s="4" t="str">
        <f aca="false">IF(F57="FAIL","רווחיות; ","")&amp;IF(G57="FAIL","תזרים; ","")&amp;IF(H57="FAIL","תשואה על ההון; ","")&amp;IF(I57="FAIL","מאזן; ","")&amp;IF(J57="FAIL","צמיחה; ","")&amp;IF(K57="FAIL","דילול; ","")</f>
        <v>דילול; </v>
      </c>
      <c r="M57" s="4" t="s">
        <v>23</v>
      </c>
      <c r="N57" s="5" t="n">
        <f aca="false">IF(M57="EXTREME",Rules!$B$23,IF(M57="HIGH",Rules!$B$22,Rules!$B$21))</f>
        <v>0.06</v>
      </c>
      <c r="O57" s="6" t="n">
        <v>92.6012791762317</v>
      </c>
      <c r="P57" s="4" t="s">
        <v>30</v>
      </c>
      <c r="Q57" s="4" t="s">
        <v>28</v>
      </c>
      <c r="R57" s="4" t="str">
        <f aca="false">IF(Q57="כן",P57,"לא רלוונטי (SMA200 יורד)")</f>
        <v>לא רלוונטי (SMA200 יורד)</v>
      </c>
      <c r="S57" s="4" t="str">
        <f aca="false">IF(NOT(ISNUMBER(T57)),"n/a",IF(AND(T57&gt;Rules!$B$18,ISNUMBER(U57),U57&lt;Rules!$B$19),"יקרה",IF(T57&lt;Rules!$B$20,"זולה","הוגנת")))</f>
        <v>הוגנת</v>
      </c>
      <c r="T57" s="7" t="n">
        <f aca="false">Data!AA57</f>
        <v>1.30841755382257</v>
      </c>
      <c r="U57" s="8" t="n">
        <f aca="false">Data!AC57</f>
        <v>0.0233675253829007</v>
      </c>
      <c r="V57" s="9" t="n">
        <v>0.0298</v>
      </c>
      <c r="W57" s="5" t="n">
        <v>-0.415</v>
      </c>
    </row>
    <row r="58" customFormat="false" ht="15" hidden="false" customHeight="false" outlineLevel="0" collapsed="false">
      <c r="A58" s="2" t="str">
        <f aca="false">Data!A58</f>
        <v>BMY</v>
      </c>
      <c r="B58" s="2" t="str">
        <f aca="false">Data!B58</f>
        <v>Bristol-Myers Squibb Co.</v>
      </c>
      <c r="C58" s="2" t="str">
        <f aca="false">Data!F58</f>
        <v>STD</v>
      </c>
      <c r="D58" s="3" t="str">
        <f aca="false">IF(E58=0,"CORE",IF(E58=1,"WATCH","NON-CORE"))</f>
        <v>WATCH</v>
      </c>
      <c r="E58" s="4" t="n">
        <f aca="false">COUNTIF(F58:K58,"FAIL")</f>
        <v>1</v>
      </c>
      <c r="F58" s="3" t="str">
        <f aca="false">IF(C58="FIN",IF(Data!M58=Data!H58,"PASS","FAIL"),IF(AND(ISNUMBER(Data!L58),Data!L58&gt;=Rules!$B$5,IF(Data!H58&lt;5,Data!M58=Data!H58,Data!M58&gt;=Rules!$B$6)),"PASS","FAIL"))</f>
        <v>PASS</v>
      </c>
      <c r="G58" s="3" t="str">
        <f aca="false">IF(C58="FIN","n/a",IF(C58="UTIL/REIT",IF(Data!Q58=Data!H58,"PASS","FAIL"),IF(AND(ISNUMBER(Data!N58),Data!N58&gt;0,IF(Data!H58&lt;5,Data!P58=Data!H58,Data!P58&gt;=Rules!$B$7)),"PASS","FAIL")))</f>
        <v>PASS</v>
      </c>
      <c r="H58" s="3" t="str">
        <f aca="false">IF(C58="FIN",IF(AND(ISNUMBER(Data!S58),Data!S58&gt;=Rules!$B$15),"PASS","FAIL"),IF(AND(ISNUMBER(Data!R58),Data!R58&gt;=Rules!$B$8),"PASS","FAIL"))</f>
        <v>PASS</v>
      </c>
      <c r="I58" s="3" t="str">
        <f aca="false">IF(C58="FIN","n/a",IF(C58="UTIL/REIT",IF(AND(Data!U58&lt;=Rules!$B$16,Data!V58&gt;=Rules!$B$17),"PASS","FAIL"),IF(AND(Data!U58&lt;=Rules!$B$9,Data!V58&gt;=Rules!$B$10),"PASS","FAIL")))</f>
        <v>PASS</v>
      </c>
      <c r="J58" s="3" t="str">
        <f aca="false">IF(AND(ISNUMBER(Data!J58),ISNUMBER(Data!K58)),IF(AND(Data!J58&gt;=Rules!$B$11,Data!K58&gt;=Rules!$B$12),"PASS","FAIL"),"FAIL")</f>
        <v>FAIL</v>
      </c>
      <c r="K58" s="3" t="str">
        <f aca="false">IF(AND(ISNUMBER(Data!W58),ISNUMBER(Data!X58)),IF(AND(Data!W58&lt;=Rules!$B$13,Data!X58&lt;=Rules!$B$14),"PASS","FAIL"),"FAIL")</f>
        <v>PASS</v>
      </c>
      <c r="L58" s="4" t="str">
        <f aca="false">IF(F58="FAIL","רווחיות; ","")&amp;IF(G58="FAIL","תזרים; ","")&amp;IF(H58="FAIL","תשואה על ההון; ","")&amp;IF(I58="FAIL","מאזן; ","")&amp;IF(J58="FAIL","צמיחה; ","")&amp;IF(K58="FAIL","דילול; ","")</f>
        <v>צמיחה; </v>
      </c>
      <c r="M58" s="4" t="s">
        <v>23</v>
      </c>
      <c r="N58" s="5" t="n">
        <f aca="false">IF(M58="EXTREME",Rules!$B$23,IF(M58="HIGH",Rules!$B$22,Rules!$B$21))</f>
        <v>0.06</v>
      </c>
      <c r="O58" s="6" t="n">
        <v>31.5008046981482</v>
      </c>
      <c r="P58" s="4" t="s">
        <v>24</v>
      </c>
      <c r="Q58" s="4" t="s">
        <v>25</v>
      </c>
      <c r="R58" s="4" t="str">
        <f aca="false">IF(Q58="כן",P58,"לא רלוונטי (SMA200 יורד)")</f>
        <v>Q2</v>
      </c>
      <c r="S58" s="4" t="str">
        <f aca="false">IF(NOT(ISNUMBER(T58)),"n/a",IF(AND(T58&gt;Rules!$B$18,ISNUMBER(U58),U58&lt;Rules!$B$19),"יקרה",IF(T58&lt;Rules!$B$20,"זולה","הוגנת")))</f>
        <v>זולה</v>
      </c>
      <c r="T58" s="7" t="n">
        <f aca="false">Data!AA58</f>
        <v>0.706735832258386</v>
      </c>
      <c r="U58" s="8" t="n">
        <f aca="false">Data!AC58</f>
        <v>0.0995008155085013</v>
      </c>
      <c r="V58" s="9" t="n">
        <v>0.0233</v>
      </c>
      <c r="W58" s="5" t="n">
        <v>-0.5109</v>
      </c>
    </row>
    <row r="59" customFormat="false" ht="15" hidden="false" customHeight="false" outlineLevel="0" collapsed="false">
      <c r="A59" s="2" t="str">
        <f aca="false">Data!A59</f>
        <v>BX</v>
      </c>
      <c r="B59" s="2" t="str">
        <f aca="false">Data!B59</f>
        <v>Blackstone Inc.</v>
      </c>
      <c r="C59" s="2" t="str">
        <f aca="false">Data!F59</f>
        <v>FIN</v>
      </c>
      <c r="D59" s="3" t="str">
        <f aca="false">IF(E59=0,"CORE",IF(E59=1,"WATCH","NON-CORE"))</f>
        <v>WATCH</v>
      </c>
      <c r="E59" s="4" t="n">
        <f aca="false">COUNTIF(F59:K59,"FAIL")</f>
        <v>1</v>
      </c>
      <c r="F59" s="3" t="str">
        <f aca="false">IF(C59="FIN",IF(Data!M59=Data!H59,"PASS","FAIL"),IF(AND(ISNUMBER(Data!L59),Data!L59&gt;=Rules!$B$5,IF(Data!H59&lt;5,Data!M59=Data!H59,Data!M59&gt;=Rules!$B$6)),"PASS","FAIL"))</f>
        <v>PASS</v>
      </c>
      <c r="G59" s="3" t="str">
        <f aca="false">IF(C59="FIN","n/a",IF(C59="UTIL/REIT",IF(Data!Q59=Data!H59,"PASS","FAIL"),IF(AND(ISNUMBER(Data!N59),Data!N59&gt;0,IF(Data!H59&lt;5,Data!P59=Data!H59,Data!P59&gt;=Rules!$B$7)),"PASS","FAIL")))</f>
        <v>n/a</v>
      </c>
      <c r="H59" s="3" t="str">
        <f aca="false">IF(C59="FIN",IF(AND(ISNUMBER(Data!S59),Data!S59&gt;=Rules!$B$15),"PASS","FAIL"),IF(AND(ISNUMBER(Data!R59),Data!R59&gt;=Rules!$B$8),"PASS","FAIL"))</f>
        <v>PASS</v>
      </c>
      <c r="I59" s="3" t="str">
        <f aca="false">IF(C59="FIN","n/a",IF(C59="UTIL/REIT",IF(AND(Data!U59&lt;=Rules!$B$16,Data!V59&gt;=Rules!$B$17),"PASS","FAIL"),IF(AND(Data!U59&lt;=Rules!$B$9,Data!V59&gt;=Rules!$B$10),"PASS","FAIL")))</f>
        <v>n/a</v>
      </c>
      <c r="J59" s="3" t="str">
        <f aca="false">IF(AND(ISNUMBER(Data!J59),ISNUMBER(Data!K59)),IF(AND(Data!J59&gt;=Rules!$B$11,Data!K59&gt;=Rules!$B$12),"PASS","FAIL"),"FAIL")</f>
        <v>PASS</v>
      </c>
      <c r="K59" s="3" t="str">
        <f aca="false">IF(AND(ISNUMBER(Data!W59),ISNUMBER(Data!X59)),IF(AND(Data!W59&lt;=Rules!$B$13,Data!X59&lt;=Rules!$B$14),"PASS","FAIL"),"FAIL")</f>
        <v>FAIL</v>
      </c>
      <c r="L59" s="4" t="str">
        <f aca="false">IF(F59="FAIL","רווחיות; ","")&amp;IF(G59="FAIL","תזרים; ","")&amp;IF(H59="FAIL","תשואה על ההון; ","")&amp;IF(I59="FAIL","מאזן; ","")&amp;IF(J59="FAIL","צמיחה; ","")&amp;IF(K59="FAIL","דילול; ","")</f>
        <v>דילול; </v>
      </c>
      <c r="M59" s="4" t="s">
        <v>23</v>
      </c>
      <c r="N59" s="5" t="n">
        <f aca="false">IF(M59="EXTREME",Rules!$B$23,IF(M59="HIGH",Rules!$B$22,Rules!$B$21))</f>
        <v>0.06</v>
      </c>
      <c r="O59" s="6" t="n">
        <v>82.3682484498424</v>
      </c>
      <c r="P59" s="4" t="s">
        <v>30</v>
      </c>
      <c r="Q59" s="4" t="s">
        <v>28</v>
      </c>
      <c r="R59" s="4" t="str">
        <f aca="false">IF(Q59="כן",P59,"לא רלוונטי (SMA200 יורד)")</f>
        <v>לא רלוונטי (SMA200 יורד)</v>
      </c>
      <c r="S59" s="4" t="str">
        <f aca="false">IF(NOT(ISNUMBER(T59)),"n/a",IF(AND(T59&gt;Rules!$B$18,ISNUMBER(U59),U59&lt;Rules!$B$19),"יקרה",IF(T59&lt;Rules!$B$20,"זולה","הוגנת")))</f>
        <v>זולה</v>
      </c>
      <c r="T59" s="7" t="n">
        <f aca="false">Data!AA59</f>
        <v>0.642890878422214</v>
      </c>
      <c r="U59" s="8" t="n">
        <f aca="false">Data!AC59</f>
        <v>0.0318026236199461</v>
      </c>
      <c r="V59" s="9" t="n">
        <v>0.0295</v>
      </c>
      <c r="W59" s="5" t="n">
        <v>-0.515</v>
      </c>
    </row>
    <row r="60" customFormat="false" ht="15" hidden="false" customHeight="false" outlineLevel="0" collapsed="false">
      <c r="A60" s="2" t="str">
        <f aca="false">Data!A60</f>
        <v>C</v>
      </c>
      <c r="B60" s="2" t="str">
        <f aca="false">Data!B60</f>
        <v>Citigroup Inc.</v>
      </c>
      <c r="C60" s="2" t="str">
        <f aca="false">Data!F60</f>
        <v>FIN</v>
      </c>
      <c r="D60" s="3" t="str">
        <f aca="false">IF(E60=0,"CORE",IF(E60=1,"WATCH","NON-CORE"))</f>
        <v>WATCH</v>
      </c>
      <c r="E60" s="4" t="n">
        <f aca="false">COUNTIF(F60:K60,"FAIL")</f>
        <v>1</v>
      </c>
      <c r="F60" s="3" t="str">
        <f aca="false">IF(C60="FIN",IF(Data!M60=Data!H60,"PASS","FAIL"),IF(AND(ISNUMBER(Data!L60),Data!L60&gt;=Rules!$B$5,IF(Data!H60&lt;5,Data!M60=Data!H60,Data!M60&gt;=Rules!$B$6)),"PASS","FAIL"))</f>
        <v>PASS</v>
      </c>
      <c r="G60" s="3" t="str">
        <f aca="false">IF(C60="FIN","n/a",IF(C60="UTIL/REIT",IF(Data!Q60=Data!H60,"PASS","FAIL"),IF(AND(ISNUMBER(Data!N60),Data!N60&gt;0,IF(Data!H60&lt;5,Data!P60=Data!H60,Data!P60&gt;=Rules!$B$7)),"PASS","FAIL")))</f>
        <v>n/a</v>
      </c>
      <c r="H60" s="3" t="str">
        <f aca="false">IF(C60="FIN",IF(AND(ISNUMBER(Data!S60),Data!S60&gt;=Rules!$B$15),"PASS","FAIL"),IF(AND(ISNUMBER(Data!R60),Data!R60&gt;=Rules!$B$8),"PASS","FAIL"))</f>
        <v>FAIL</v>
      </c>
      <c r="I60" s="3" t="str">
        <f aca="false">IF(C60="FIN","n/a",IF(C60="UTIL/REIT",IF(AND(Data!U60&lt;=Rules!$B$16,Data!V60&gt;=Rules!$B$17),"PASS","FAIL"),IF(AND(Data!U60&lt;=Rules!$B$9,Data!V60&gt;=Rules!$B$10),"PASS","FAIL")))</f>
        <v>n/a</v>
      </c>
      <c r="J60" s="3" t="str">
        <f aca="false">IF(AND(ISNUMBER(Data!J60),ISNUMBER(Data!K60)),IF(AND(Data!J60&gt;=Rules!$B$11,Data!K60&gt;=Rules!$B$12),"PASS","FAIL"),"FAIL")</f>
        <v>PASS</v>
      </c>
      <c r="K60" s="3" t="str">
        <f aca="false">IF(AND(ISNUMBER(Data!W60),ISNUMBER(Data!X60)),IF(AND(Data!W60&lt;=Rules!$B$13,Data!X60&lt;=Rules!$B$14),"PASS","FAIL"),"FAIL")</f>
        <v>PASS</v>
      </c>
      <c r="L60" s="4" t="str">
        <f aca="false">IF(F60="FAIL","רווחיות; ","")&amp;IF(G60="FAIL","תזרים; ","")&amp;IF(H60="FAIL","תשואה על ההון; ","")&amp;IF(I60="FAIL","מאזן; ","")&amp;IF(J60="FAIL","צמיחה; ","")&amp;IF(K60="FAIL","דילול; ","")</f>
        <v>תשואה על ההון; </v>
      </c>
      <c r="M60" s="4" t="s">
        <v>29</v>
      </c>
      <c r="N60" s="5" t="n">
        <f aca="false">IF(M60="EXTREME",Rules!$B$23,IF(M60="HIGH",Rules!$B$22,Rules!$B$21))</f>
        <v>0.1</v>
      </c>
      <c r="O60" s="6" t="n">
        <v>64.8176775785884</v>
      </c>
      <c r="P60" s="4" t="s">
        <v>27</v>
      </c>
      <c r="Q60" s="4" t="s">
        <v>25</v>
      </c>
      <c r="R60" s="4" t="str">
        <f aca="false">IF(Q60="כן",P60,"לא רלוונטי (SMA200 יורד)")</f>
        <v>Q3</v>
      </c>
      <c r="S60" s="4" t="str">
        <f aca="false">IF(NOT(ISNUMBER(T60)),"n/a",IF(AND(T60&gt;Rules!$B$18,ISNUMBER(U60),U60&lt;Rules!$B$19),"יקרה",IF(T60&lt;Rules!$B$20,"זולה","הוגנת")))</f>
        <v>הוגנת</v>
      </c>
      <c r="T60" s="7" t="n">
        <f aca="false">Data!AA60</f>
        <v>1.19850049195687</v>
      </c>
      <c r="U60" s="8" t="n">
        <f aca="false">Data!AC60</f>
        <v>-0.108336832740619</v>
      </c>
      <c r="V60" s="9" t="n">
        <v>0.0239</v>
      </c>
      <c r="W60" s="5" t="n">
        <v>-0.4728</v>
      </c>
    </row>
    <row r="61" customFormat="false" ht="15" hidden="false" customHeight="false" outlineLevel="0" collapsed="false">
      <c r="A61" s="2" t="str">
        <f aca="false">Data!A61</f>
        <v>COP</v>
      </c>
      <c r="B61" s="2" t="str">
        <f aca="false">Data!B61</f>
        <v>ConocoPhillips Co.</v>
      </c>
      <c r="C61" s="2" t="str">
        <f aca="false">Data!F61</f>
        <v>STD</v>
      </c>
      <c r="D61" s="3" t="str">
        <f aca="false">IF(E61=0,"CORE",IF(E61=1,"WATCH","NON-CORE"))</f>
        <v>WATCH</v>
      </c>
      <c r="E61" s="4" t="n">
        <f aca="false">COUNTIF(F61:K61,"FAIL")</f>
        <v>1</v>
      </c>
      <c r="F61" s="3" t="str">
        <f aca="false">IF(C61="FIN",IF(Data!M61=Data!H61,"PASS","FAIL"),IF(AND(ISNUMBER(Data!L61),Data!L61&gt;=Rules!$B$5,IF(Data!H61&lt;5,Data!M61=Data!H61,Data!M61&gt;=Rules!$B$6)),"PASS","FAIL"))</f>
        <v>PASS</v>
      </c>
      <c r="G61" s="3" t="str">
        <f aca="false">IF(C61="FIN","n/a",IF(C61="UTIL/REIT",IF(Data!Q61=Data!H61,"PASS","FAIL"),IF(AND(ISNUMBER(Data!N61),Data!N61&gt;0,IF(Data!H61&lt;5,Data!P61=Data!H61,Data!P61&gt;=Rules!$B$7)),"PASS","FAIL")))</f>
        <v>PASS</v>
      </c>
      <c r="H61" s="3" t="str">
        <f aca="false">IF(C61="FIN",IF(AND(ISNUMBER(Data!S61),Data!S61&gt;=Rules!$B$15),"PASS","FAIL"),IF(AND(ISNUMBER(Data!R61),Data!R61&gt;=Rules!$B$8),"PASS","FAIL"))</f>
        <v>PASS</v>
      </c>
      <c r="I61" s="3" t="str">
        <f aca="false">IF(C61="FIN","n/a",IF(C61="UTIL/REIT",IF(AND(Data!U61&lt;=Rules!$B$16,Data!V61&gt;=Rules!$B$17),"PASS","FAIL"),IF(AND(Data!U61&lt;=Rules!$B$9,Data!V61&gt;=Rules!$B$10),"PASS","FAIL")))</f>
        <v>PASS</v>
      </c>
      <c r="J61" s="3" t="str">
        <f aca="false">IF(AND(ISNUMBER(Data!J61),ISNUMBER(Data!K61)),IF(AND(Data!J61&gt;=Rules!$B$11,Data!K61&gt;=Rules!$B$12),"PASS","FAIL"),"FAIL")</f>
        <v>FAIL</v>
      </c>
      <c r="K61" s="3" t="str">
        <f aca="false">IF(AND(ISNUMBER(Data!W61),ISNUMBER(Data!X61)),IF(AND(Data!W61&lt;=Rules!$B$13,Data!X61&lt;=Rules!$B$14),"PASS","FAIL"),"FAIL")</f>
        <v>PASS</v>
      </c>
      <c r="L61" s="4" t="str">
        <f aca="false">IF(F61="FAIL","רווחיות; ","")&amp;IF(G61="FAIL","תזרים; ","")&amp;IF(H61="FAIL","תשואה על ההון; ","")&amp;IF(I61="FAIL","מאזן; ","")&amp;IF(J61="FAIL","צמיחה; ","")&amp;IF(K61="FAIL","דילול; ","")</f>
        <v>צמיחה; </v>
      </c>
      <c r="M61" s="4" t="s">
        <v>29</v>
      </c>
      <c r="N61" s="5" t="n">
        <f aca="false">IF(M61="EXTREME",Rules!$B$23,IF(M61="HIGH",Rules!$B$22,Rules!$B$21))</f>
        <v>0.1</v>
      </c>
      <c r="O61" s="6" t="n">
        <v>30.490098137157</v>
      </c>
      <c r="P61" s="4" t="s">
        <v>24</v>
      </c>
      <c r="Q61" s="4" t="s">
        <v>25</v>
      </c>
      <c r="R61" s="4" t="str">
        <f aca="false">IF(Q61="כן",P61,"לא רלוונטי (SMA200 יורד)")</f>
        <v>Q2</v>
      </c>
      <c r="S61" s="4" t="str">
        <f aca="false">IF(NOT(ISNUMBER(T61)),"n/a",IF(AND(T61&gt;Rules!$B$18,ISNUMBER(U61),U61&lt;Rules!$B$19),"יקרה",IF(T61&lt;Rules!$B$20,"זולה","הוגנת")))</f>
        <v>הוגנת</v>
      </c>
      <c r="T61" s="7" t="n">
        <f aca="false">Data!AA61</f>
        <v>1.456669857169</v>
      </c>
      <c r="U61" s="8" t="n">
        <f aca="false">Data!AC61</f>
        <v>0.0593379432010325</v>
      </c>
      <c r="V61" s="9" t="n">
        <v>0.0224</v>
      </c>
      <c r="W61" s="5" t="n">
        <v>-0.3875</v>
      </c>
    </row>
    <row r="62" customFormat="false" ht="15" hidden="false" customHeight="false" outlineLevel="0" collapsed="false">
      <c r="A62" s="2" t="str">
        <f aca="false">Data!A62</f>
        <v>COST</v>
      </c>
      <c r="B62" s="2" t="str">
        <f aca="false">Data!B62</f>
        <v>Costco Wholesale Corp.</v>
      </c>
      <c r="C62" s="2" t="str">
        <f aca="false">Data!F62</f>
        <v>STD</v>
      </c>
      <c r="D62" s="3" t="str">
        <f aca="false">IF(E62=0,"CORE",IF(E62=1,"WATCH","NON-CORE"))</f>
        <v>WATCH</v>
      </c>
      <c r="E62" s="4" t="n">
        <f aca="false">COUNTIF(F62:K62,"FAIL")</f>
        <v>1</v>
      </c>
      <c r="F62" s="3" t="str">
        <f aca="false">IF(C62="FIN",IF(Data!M62=Data!H62,"PASS","FAIL"),IF(AND(ISNUMBER(Data!L62),Data!L62&gt;=Rules!$B$5,IF(Data!H62&lt;5,Data!M62=Data!H62,Data!M62&gt;=Rules!$B$6)),"PASS","FAIL"))</f>
        <v>FAIL</v>
      </c>
      <c r="G62" s="3" t="str">
        <f aca="false">IF(C62="FIN","n/a",IF(C62="UTIL/REIT",IF(Data!Q62=Data!H62,"PASS","FAIL"),IF(AND(ISNUMBER(Data!N62),Data!N62&gt;0,IF(Data!H62&lt;5,Data!P62=Data!H62,Data!P62&gt;=Rules!$B$7)),"PASS","FAIL")))</f>
        <v>PASS</v>
      </c>
      <c r="H62" s="3" t="str">
        <f aca="false">IF(C62="FIN",IF(AND(ISNUMBER(Data!S62),Data!S62&gt;=Rules!$B$15),"PASS","FAIL"),IF(AND(ISNUMBER(Data!R62),Data!R62&gt;=Rules!$B$8),"PASS","FAIL"))</f>
        <v>PASS</v>
      </c>
      <c r="I62" s="3" t="str">
        <f aca="false">IF(C62="FIN","n/a",IF(C62="UTIL/REIT",IF(AND(Data!U62&lt;=Rules!$B$16,Data!V62&gt;=Rules!$B$17),"PASS","FAIL"),IF(AND(Data!U62&lt;=Rules!$B$9,Data!V62&gt;=Rules!$B$10),"PASS","FAIL")))</f>
        <v>PASS</v>
      </c>
      <c r="J62" s="3" t="str">
        <f aca="false">IF(AND(ISNUMBER(Data!J62),ISNUMBER(Data!K62)),IF(AND(Data!J62&gt;=Rules!$B$11,Data!K62&gt;=Rules!$B$12),"PASS","FAIL"),"FAIL")</f>
        <v>PASS</v>
      </c>
      <c r="K62" s="3" t="str">
        <f aca="false">IF(AND(ISNUMBER(Data!W62),ISNUMBER(Data!X62)),IF(AND(Data!W62&lt;=Rules!$B$13,Data!X62&lt;=Rules!$B$14),"PASS","FAIL"),"FAIL")</f>
        <v>PASS</v>
      </c>
      <c r="L62" s="4" t="str">
        <f aca="false">IF(F62="FAIL","רווחיות; ","")&amp;IF(G62="FAIL","תזרים; ","")&amp;IF(H62="FAIL","תשואה על ההון; ","")&amp;IF(I62="FAIL","מאזן; ","")&amp;IF(J62="FAIL","צמיחה; ","")&amp;IF(K62="FAIL","דילול; ","")</f>
        <v>רווחיות; </v>
      </c>
      <c r="M62" s="4" t="s">
        <v>29</v>
      </c>
      <c r="N62" s="5" t="n">
        <f aca="false">IF(M62="EXTREME",Rules!$B$23,IF(M62="HIGH",Rules!$B$22,Rules!$B$21))</f>
        <v>0.1</v>
      </c>
      <c r="O62" s="6" t="n">
        <v>87.4215443001022</v>
      </c>
      <c r="P62" s="4" t="s">
        <v>30</v>
      </c>
      <c r="Q62" s="4" t="s">
        <v>25</v>
      </c>
      <c r="R62" s="4" t="str">
        <f aca="false">IF(Q62="כן",P62,"לא רלוונטי (SMA200 יורד)")</f>
        <v>Q4</v>
      </c>
      <c r="S62" s="4" t="str">
        <f aca="false">IF(NOT(ISNUMBER(T62)),"n/a",IF(AND(T62&gt;Rules!$B$18,ISNUMBER(U62),U62&lt;Rules!$B$19),"יקרה",IF(T62&lt;Rules!$B$20,"זולה","הוגנת")))</f>
        <v>הוגנת</v>
      </c>
      <c r="T62" s="7" t="n">
        <f aca="false">Data!AA62</f>
        <v>1.01637902721715</v>
      </c>
      <c r="U62" s="8" t="n">
        <f aca="false">Data!AC62</f>
        <v>0.0220685963922787</v>
      </c>
      <c r="V62" s="9" t="n">
        <v>0.0163</v>
      </c>
      <c r="W62" s="5" t="n">
        <v>-0.3151</v>
      </c>
    </row>
    <row r="63" customFormat="false" ht="15" hidden="false" customHeight="false" outlineLevel="0" collapsed="false">
      <c r="A63" s="2" t="str">
        <f aca="false">Data!A63</f>
        <v>DELL</v>
      </c>
      <c r="B63" s="2" t="str">
        <f aca="false">Data!B63</f>
        <v>Dell Technologies Inc.</v>
      </c>
      <c r="C63" s="2" t="str">
        <f aca="false">Data!F63</f>
        <v>STD</v>
      </c>
      <c r="D63" s="3" t="str">
        <f aca="false">IF(E63=0,"CORE",IF(E63=1,"WATCH","NON-CORE"))</f>
        <v>WATCH</v>
      </c>
      <c r="E63" s="4" t="n">
        <f aca="false">COUNTIF(F63:K63,"FAIL")</f>
        <v>1</v>
      </c>
      <c r="F63" s="3" t="str">
        <f aca="false">IF(C63="FIN",IF(Data!M63=Data!H63,"PASS","FAIL"),IF(AND(ISNUMBER(Data!L63),Data!L63&gt;=Rules!$B$5,IF(Data!H63&lt;5,Data!M63=Data!H63,Data!M63&gt;=Rules!$B$6)),"PASS","FAIL"))</f>
        <v>FAIL</v>
      </c>
      <c r="G63" s="3" t="str">
        <f aca="false">IF(C63="FIN","n/a",IF(C63="UTIL/REIT",IF(Data!Q63=Data!H63,"PASS","FAIL"),IF(AND(ISNUMBER(Data!N63),Data!N63&gt;0,IF(Data!H63&lt;5,Data!P63=Data!H63,Data!P63&gt;=Rules!$B$7)),"PASS","FAIL")))</f>
        <v>PASS</v>
      </c>
      <c r="H63" s="3" t="str">
        <f aca="false">IF(C63="FIN",IF(AND(ISNUMBER(Data!S63),Data!S63&gt;=Rules!$B$15),"PASS","FAIL"),IF(AND(ISNUMBER(Data!R63),Data!R63&gt;=Rules!$B$8),"PASS","FAIL"))</f>
        <v>PASS</v>
      </c>
      <c r="I63" s="3" t="str">
        <f aca="false">IF(C63="FIN","n/a",IF(C63="UTIL/REIT",IF(AND(Data!U63&lt;=Rules!$B$16,Data!V63&gt;=Rules!$B$17),"PASS","FAIL"),IF(AND(Data!U63&lt;=Rules!$B$9,Data!V63&gt;=Rules!$B$10),"PASS","FAIL")))</f>
        <v>PASS</v>
      </c>
      <c r="J63" s="3" t="str">
        <f aca="false">IF(AND(ISNUMBER(Data!J63),ISNUMBER(Data!K63)),IF(AND(Data!J63&gt;=Rules!$B$11,Data!K63&gt;=Rules!$B$12),"PASS","FAIL"),"FAIL")</f>
        <v>PASS</v>
      </c>
      <c r="K63" s="3" t="str">
        <f aca="false">IF(AND(ISNUMBER(Data!W63),ISNUMBER(Data!X63)),IF(AND(Data!W63&lt;=Rules!$B$13,Data!X63&lt;=Rules!$B$14),"PASS","FAIL"),"FAIL")</f>
        <v>PASS</v>
      </c>
      <c r="L63" s="4" t="str">
        <f aca="false">IF(F63="FAIL","רווחיות; ","")&amp;IF(G63="FAIL","תזרים; ","")&amp;IF(H63="FAIL","תשואה על ההון; ","")&amp;IF(I63="FAIL","מאזן; ","")&amp;IF(J63="FAIL","צמיחה; ","")&amp;IF(K63="FAIL","דילול; ","")</f>
        <v>רווחיות; </v>
      </c>
      <c r="M63" s="4" t="s">
        <v>26</v>
      </c>
      <c r="N63" s="5" t="n">
        <f aca="false">IF(M63="EXTREME",Rules!$B$23,IF(M63="HIGH",Rules!$B$22,Rules!$B$21))</f>
        <v>0.03</v>
      </c>
      <c r="O63" s="6" t="n">
        <v>22.408853006576</v>
      </c>
      <c r="P63" s="4" t="s">
        <v>32</v>
      </c>
      <c r="Q63" s="4" t="s">
        <v>25</v>
      </c>
      <c r="R63" s="4" t="str">
        <f aca="false">IF(Q63="כן",P63,"לא רלוונטי (SMA200 יורד)")</f>
        <v>Q1</v>
      </c>
      <c r="S63" s="4" t="str">
        <f aca="false">IF(NOT(ISNUMBER(T63)),"n/a",IF(AND(T63&gt;Rules!$B$18,ISNUMBER(U63),U63&lt;Rules!$B$19),"יקרה",IF(T63&lt;Rules!$B$20,"זולה","הוגנת")))</f>
        <v>הוגנת</v>
      </c>
      <c r="T63" s="7" t="n">
        <f aca="false">Data!AA63</f>
        <v>2.54109553589218</v>
      </c>
      <c r="U63" s="8" t="n">
        <f aca="false">Data!AC63</f>
        <v>0.0223665232659804</v>
      </c>
      <c r="V63" s="9" t="n">
        <v>0.061</v>
      </c>
      <c r="W63" s="5" t="n">
        <v>-0.6006</v>
      </c>
    </row>
    <row r="64" customFormat="false" ht="15" hidden="false" customHeight="false" outlineLevel="0" collapsed="false">
      <c r="A64" s="2" t="str">
        <f aca="false">Data!A64</f>
        <v>DIS</v>
      </c>
      <c r="B64" s="2" t="str">
        <f aca="false">Data!B64</f>
        <v>The Walt Disney Co.</v>
      </c>
      <c r="C64" s="2" t="str">
        <f aca="false">Data!F64</f>
        <v>STD</v>
      </c>
      <c r="D64" s="3" t="str">
        <f aca="false">IF(E64=0,"CORE",IF(E64=1,"WATCH","NON-CORE"))</f>
        <v>WATCH</v>
      </c>
      <c r="E64" s="4" t="n">
        <f aca="false">COUNTIF(F64:K64,"FAIL")</f>
        <v>1</v>
      </c>
      <c r="F64" s="3" t="str">
        <f aca="false">IF(C64="FIN",IF(Data!M64=Data!H64,"PASS","FAIL"),IF(AND(ISNUMBER(Data!L64),Data!L64&gt;=Rules!$B$5,IF(Data!H64&lt;5,Data!M64=Data!H64,Data!M64&gt;=Rules!$B$6)),"PASS","FAIL"))</f>
        <v>PASS</v>
      </c>
      <c r="G64" s="3" t="str">
        <f aca="false">IF(C64="FIN","n/a",IF(C64="UTIL/REIT",IF(Data!Q64=Data!H64,"PASS","FAIL"),IF(AND(ISNUMBER(Data!N64),Data!N64&gt;0,IF(Data!H64&lt;5,Data!P64=Data!H64,Data!P64&gt;=Rules!$B$7)),"PASS","FAIL")))</f>
        <v>PASS</v>
      </c>
      <c r="H64" s="3" t="str">
        <f aca="false">IF(C64="FIN",IF(AND(ISNUMBER(Data!S64),Data!S64&gt;=Rules!$B$15),"PASS","FAIL"),IF(AND(ISNUMBER(Data!R64),Data!R64&gt;=Rules!$B$8),"PASS","FAIL"))</f>
        <v>FAIL</v>
      </c>
      <c r="I64" s="3" t="str">
        <f aca="false">IF(C64="FIN","n/a",IF(C64="UTIL/REIT",IF(AND(Data!U64&lt;=Rules!$B$16,Data!V64&gt;=Rules!$B$17),"PASS","FAIL"),IF(AND(Data!U64&lt;=Rules!$B$9,Data!V64&gt;=Rules!$B$10),"PASS","FAIL")))</f>
        <v>PASS</v>
      </c>
      <c r="J64" s="3" t="str">
        <f aca="false">IF(AND(ISNUMBER(Data!J64),ISNUMBER(Data!K64)),IF(AND(Data!J64&gt;=Rules!$B$11,Data!K64&gt;=Rules!$B$12),"PASS","FAIL"),"FAIL")</f>
        <v>PASS</v>
      </c>
      <c r="K64" s="3" t="str">
        <f aca="false">IF(AND(ISNUMBER(Data!W64),ISNUMBER(Data!X64)),IF(AND(Data!W64&lt;=Rules!$B$13,Data!X64&lt;=Rules!$B$14),"PASS","FAIL"),"FAIL")</f>
        <v>PASS</v>
      </c>
      <c r="L64" s="4" t="str">
        <f aca="false">IF(F64="FAIL","רווחיות; ","")&amp;IF(G64="FAIL","תזרים; ","")&amp;IF(H64="FAIL","תשואה על ההון; ","")&amp;IF(I64="FAIL","מאזן; ","")&amp;IF(J64="FAIL","צמיחה; ","")&amp;IF(K64="FAIL","דילול; ","")</f>
        <v>תשואה על ההון; </v>
      </c>
      <c r="M64" s="4" t="s">
        <v>23</v>
      </c>
      <c r="N64" s="5" t="n">
        <f aca="false">IF(M64="EXTREME",Rules!$B$23,IF(M64="HIGH",Rules!$B$22,Rules!$B$21))</f>
        <v>0.06</v>
      </c>
      <c r="O64" s="6" t="n">
        <v>33.91262437752</v>
      </c>
      <c r="P64" s="4" t="s">
        <v>24</v>
      </c>
      <c r="Q64" s="4" t="s">
        <v>28</v>
      </c>
      <c r="R64" s="4" t="str">
        <f aca="false">IF(Q64="כן",P64,"לא רלוונטי (SMA200 יורד)")</f>
        <v>לא רלוונטי (SMA200 יורד)</v>
      </c>
      <c r="S64" s="4" t="str">
        <f aca="false">IF(NOT(ISNUMBER(T64)),"n/a",IF(AND(T64&gt;Rules!$B$18,ISNUMBER(U64),U64&lt;Rules!$B$19),"יקרה",IF(T64&lt;Rules!$B$20,"זולה","הוגנת")))</f>
        <v>זולה</v>
      </c>
      <c r="T64" s="7" t="n">
        <f aca="false">Data!AA64</f>
        <v>0.412156517331023</v>
      </c>
      <c r="U64" s="8" t="n">
        <f aca="false">Data!AC64</f>
        <v>0.0437252402663463</v>
      </c>
      <c r="V64" s="9" t="n">
        <v>0.0194</v>
      </c>
      <c r="W64" s="5" t="n">
        <v>-0.5538</v>
      </c>
    </row>
    <row r="65" customFormat="false" ht="15" hidden="false" customHeight="false" outlineLevel="0" collapsed="false">
      <c r="A65" s="2" t="str">
        <f aca="false">Data!A65</f>
        <v>DUK</v>
      </c>
      <c r="B65" s="2" t="str">
        <f aca="false">Data!B65</f>
        <v>Duke Energy Corp.</v>
      </c>
      <c r="C65" s="2" t="str">
        <f aca="false">Data!F65</f>
        <v>UTIL/REIT</v>
      </c>
      <c r="D65" s="3" t="str">
        <f aca="false">IF(E65=0,"CORE",IF(E65=1,"WATCH","NON-CORE"))</f>
        <v>WATCH</v>
      </c>
      <c r="E65" s="4" t="n">
        <f aca="false">COUNTIF(F65:K65,"FAIL")</f>
        <v>1</v>
      </c>
      <c r="F65" s="3" t="str">
        <f aca="false">IF(C65="FIN",IF(Data!M65=Data!H65,"PASS","FAIL"),IF(AND(ISNUMBER(Data!L65),Data!L65&gt;=Rules!$B$5,IF(Data!H65&lt;5,Data!M65=Data!H65,Data!M65&gt;=Rules!$B$6)),"PASS","FAIL"))</f>
        <v>PASS</v>
      </c>
      <c r="G65" s="3" t="str">
        <f aca="false">IF(C65="FIN","n/a",IF(C65="UTIL/REIT",IF(Data!Q65=Data!H65,"PASS","FAIL"),IF(AND(ISNUMBER(Data!N65),Data!N65&gt;0,IF(Data!H65&lt;5,Data!P65=Data!H65,Data!P65&gt;=Rules!$B$7)),"PASS","FAIL")))</f>
        <v>PASS</v>
      </c>
      <c r="H65" s="3" t="str">
        <f aca="false">IF(C65="FIN",IF(AND(ISNUMBER(Data!S65),Data!S65&gt;=Rules!$B$15),"PASS","FAIL"),IF(AND(ISNUMBER(Data!R65),Data!R65&gt;=Rules!$B$8),"PASS","FAIL"))</f>
        <v>FAIL</v>
      </c>
      <c r="I65" s="3" t="str">
        <f aca="false">IF(C65="FIN","n/a",IF(C65="UTIL/REIT",IF(AND(Data!U65&lt;=Rules!$B$16,Data!V65&gt;=Rules!$B$17),"PASS","FAIL"),IF(AND(Data!U65&lt;=Rules!$B$9,Data!V65&gt;=Rules!$B$10),"PASS","FAIL")))</f>
        <v>PASS</v>
      </c>
      <c r="J65" s="3" t="str">
        <f aca="false">IF(AND(ISNUMBER(Data!J65),ISNUMBER(Data!K65)),IF(AND(Data!J65&gt;=Rules!$B$11,Data!K65&gt;=Rules!$B$12),"PASS","FAIL"),"FAIL")</f>
        <v>PASS</v>
      </c>
      <c r="K65" s="3" t="str">
        <f aca="false">IF(AND(ISNUMBER(Data!W65),ISNUMBER(Data!X65)),IF(AND(Data!W65&lt;=Rules!$B$13,Data!X65&lt;=Rules!$B$14),"PASS","FAIL"),"FAIL")</f>
        <v>PASS</v>
      </c>
      <c r="L65" s="4" t="str">
        <f aca="false">IF(F65="FAIL","רווחיות; ","")&amp;IF(G65="FAIL","תזרים; ","")&amp;IF(H65="FAIL","תשואה על ההון; ","")&amp;IF(I65="FAIL","מאזן; ","")&amp;IF(J65="FAIL","צמיחה; ","")&amp;IF(K65="FAIL","דילול; ","")</f>
        <v>תשואה על ההון; </v>
      </c>
      <c r="M65" s="4" t="s">
        <v>31</v>
      </c>
      <c r="N65" s="5" t="n">
        <f aca="false">IF(M65="EXTREME",Rules!$B$23,IF(M65="HIGH",Rules!$B$22,Rules!$B$21))</f>
        <v>0.1</v>
      </c>
      <c r="O65" s="6" t="n">
        <v>86.526898149289</v>
      </c>
      <c r="P65" s="4" t="s">
        <v>30</v>
      </c>
      <c r="Q65" s="4" t="s">
        <v>28</v>
      </c>
      <c r="R65" s="4" t="str">
        <f aca="false">IF(Q65="כן",P65,"לא רלוונטי (SMA200 יורד)")</f>
        <v>לא רלוונטי (SMA200 יורד)</v>
      </c>
      <c r="S65" s="4" t="str">
        <f aca="false">IF(NOT(ISNUMBER(T65)),"n/a",IF(AND(T65&gt;Rules!$B$18,ISNUMBER(U65),U65&lt;Rules!$B$19),"יקרה",IF(T65&lt;Rules!$B$20,"זולה","הוגנת")))</f>
        <v>הוגנת</v>
      </c>
      <c r="T65" s="7" t="n">
        <f aca="false">Data!AA65</f>
        <v>0.933989539939048</v>
      </c>
      <c r="U65" s="8" t="n">
        <f aca="false">Data!AC65</f>
        <v>-0.0467097788497521</v>
      </c>
      <c r="V65" s="9" t="n">
        <v>0.0155</v>
      </c>
      <c r="W65" s="5" t="n">
        <v>-0.2597</v>
      </c>
    </row>
    <row r="66" customFormat="false" ht="15" hidden="false" customHeight="false" outlineLevel="0" collapsed="false">
      <c r="A66" s="2" t="str">
        <f aca="false">Data!A66</f>
        <v>GILD</v>
      </c>
      <c r="B66" s="2" t="str">
        <f aca="false">Data!B66</f>
        <v>Gilead Sciences Inc.</v>
      </c>
      <c r="C66" s="2" t="str">
        <f aca="false">Data!F66</f>
        <v>STD</v>
      </c>
      <c r="D66" s="3" t="str">
        <f aca="false">IF(E66=0,"CORE",IF(E66=1,"WATCH","NON-CORE"))</f>
        <v>WATCH</v>
      </c>
      <c r="E66" s="4" t="n">
        <f aca="false">COUNTIF(F66:K66,"FAIL")</f>
        <v>1</v>
      </c>
      <c r="F66" s="3" t="str">
        <f aca="false">IF(C66="FIN",IF(Data!M66=Data!H66,"PASS","FAIL"),IF(AND(ISNUMBER(Data!L66),Data!L66&gt;=Rules!$B$5,IF(Data!H66&lt;5,Data!M66=Data!H66,Data!M66&gt;=Rules!$B$6)),"PASS","FAIL"))</f>
        <v>PASS</v>
      </c>
      <c r="G66" s="3" t="str">
        <f aca="false">IF(C66="FIN","n/a",IF(C66="UTIL/REIT",IF(Data!Q66=Data!H66,"PASS","FAIL"),IF(AND(ISNUMBER(Data!N66),Data!N66&gt;0,IF(Data!H66&lt;5,Data!P66=Data!H66,Data!P66&gt;=Rules!$B$7)),"PASS","FAIL")))</f>
        <v>PASS</v>
      </c>
      <c r="H66" s="3" t="str">
        <f aca="false">IF(C66="FIN",IF(AND(ISNUMBER(Data!S66),Data!S66&gt;=Rules!$B$15),"PASS","FAIL"),IF(AND(ISNUMBER(Data!R66),Data!R66&gt;=Rules!$B$8),"PASS","FAIL"))</f>
        <v>PASS</v>
      </c>
      <c r="I66" s="3" t="str">
        <f aca="false">IF(C66="FIN","n/a",IF(C66="UTIL/REIT",IF(AND(Data!U66&lt;=Rules!$B$16,Data!V66&gt;=Rules!$B$17),"PASS","FAIL"),IF(AND(Data!U66&lt;=Rules!$B$9,Data!V66&gt;=Rules!$B$10),"PASS","FAIL")))</f>
        <v>PASS</v>
      </c>
      <c r="J66" s="3" t="str">
        <f aca="false">IF(AND(ISNUMBER(Data!J66),ISNUMBER(Data!K66)),IF(AND(Data!J66&gt;=Rules!$B$11,Data!K66&gt;=Rules!$B$12),"PASS","FAIL"),"FAIL")</f>
        <v>FAIL</v>
      </c>
      <c r="K66" s="3" t="str">
        <f aca="false">IF(AND(ISNUMBER(Data!W66),ISNUMBER(Data!X66)),IF(AND(Data!W66&lt;=Rules!$B$13,Data!X66&lt;=Rules!$B$14),"PASS","FAIL"),"FAIL")</f>
        <v>PASS</v>
      </c>
      <c r="L66" s="4" t="str">
        <f aca="false">IF(F66="FAIL","רווחיות; ","")&amp;IF(G66="FAIL","תזרים; ","")&amp;IF(H66="FAIL","תשואה על ההון; ","")&amp;IF(I66="FAIL","מאזן; ","")&amp;IF(J66="FAIL","צמיחה; ","")&amp;IF(K66="FAIL","דילול; ","")</f>
        <v>צמיחה; </v>
      </c>
      <c r="M66" s="4" t="s">
        <v>29</v>
      </c>
      <c r="N66" s="5" t="n">
        <f aca="false">IF(M66="EXTREME",Rules!$B$23,IF(M66="HIGH",Rules!$B$22,Rules!$B$21))</f>
        <v>0.1</v>
      </c>
      <c r="O66" s="6" t="n">
        <v>34.8859394874575</v>
      </c>
      <c r="P66" s="4" t="s">
        <v>24</v>
      </c>
      <c r="Q66" s="4" t="s">
        <v>25</v>
      </c>
      <c r="R66" s="4" t="str">
        <f aca="false">IF(Q66="כן",P66,"לא רלוונטי (SMA200 יורד)")</f>
        <v>Q2</v>
      </c>
      <c r="S66" s="4" t="str">
        <f aca="false">IF(NOT(ISNUMBER(T66)),"n/a",IF(AND(T66&gt;Rules!$B$18,ISNUMBER(U66),U66&lt;Rules!$B$19),"יקרה",IF(T66&lt;Rules!$B$20,"זולה","הוגנת")))</f>
        <v>n/a</v>
      </c>
      <c r="T66" s="7" t="str">
        <f aca="false">Data!AA66</f>
        <v/>
      </c>
      <c r="U66" s="8" t="n">
        <f aca="false">Data!AC66</f>
        <v>0.0717445562389898</v>
      </c>
      <c r="V66" s="9" t="n">
        <v>0.0253</v>
      </c>
      <c r="W66" s="5" t="n">
        <v>-0.2941</v>
      </c>
    </row>
    <row r="67" customFormat="false" ht="15" hidden="false" customHeight="false" outlineLevel="0" collapsed="false">
      <c r="A67" s="2" t="str">
        <f aca="false">Data!A67</f>
        <v>HD</v>
      </c>
      <c r="B67" s="2" t="str">
        <f aca="false">Data!B67</f>
        <v>The Home Depot Inc.</v>
      </c>
      <c r="C67" s="2" t="str">
        <f aca="false">Data!F67</f>
        <v>STD</v>
      </c>
      <c r="D67" s="3" t="str">
        <f aca="false">IF(E67=0,"CORE",IF(E67=1,"WATCH","NON-CORE"))</f>
        <v>WATCH</v>
      </c>
      <c r="E67" s="4" t="n">
        <f aca="false">COUNTIF(F67:K67,"FAIL")</f>
        <v>1</v>
      </c>
      <c r="F67" s="3" t="str">
        <f aca="false">IF(C67="FIN",IF(Data!M67=Data!H67,"PASS","FAIL"),IF(AND(ISNUMBER(Data!L67),Data!L67&gt;=Rules!$B$5,IF(Data!H67&lt;5,Data!M67=Data!H67,Data!M67&gt;=Rules!$B$6)),"PASS","FAIL"))</f>
        <v>PASS</v>
      </c>
      <c r="G67" s="3" t="str">
        <f aca="false">IF(C67="FIN","n/a",IF(C67="UTIL/REIT",IF(Data!Q67=Data!H67,"PASS","FAIL"),IF(AND(ISNUMBER(Data!N67),Data!N67&gt;0,IF(Data!H67&lt;5,Data!P67=Data!H67,Data!P67&gt;=Rules!$B$7)),"PASS","FAIL")))</f>
        <v>PASS</v>
      </c>
      <c r="H67" s="3" t="str">
        <f aca="false">IF(C67="FIN",IF(AND(ISNUMBER(Data!S67),Data!S67&gt;=Rules!$B$15),"PASS","FAIL"),IF(AND(ISNUMBER(Data!R67),Data!R67&gt;=Rules!$B$8),"PASS","FAIL"))</f>
        <v>PASS</v>
      </c>
      <c r="I67" s="3" t="str">
        <f aca="false">IF(C67="FIN","n/a",IF(C67="UTIL/REIT",IF(AND(Data!U67&lt;=Rules!$B$16,Data!V67&gt;=Rules!$B$17),"PASS","FAIL"),IF(AND(Data!U67&lt;=Rules!$B$9,Data!V67&gt;=Rules!$B$10),"PASS","FAIL")))</f>
        <v>PASS</v>
      </c>
      <c r="J67" s="3" t="str">
        <f aca="false">IF(AND(ISNUMBER(Data!J67),ISNUMBER(Data!K67)),IF(AND(Data!J67&gt;=Rules!$B$11,Data!K67&gt;=Rules!$B$12),"PASS","FAIL"),"FAIL")</f>
        <v>FAIL</v>
      </c>
      <c r="K67" s="3" t="str">
        <f aca="false">IF(AND(ISNUMBER(Data!W67),ISNUMBER(Data!X67)),IF(AND(Data!W67&lt;=Rules!$B$13,Data!X67&lt;=Rules!$B$14),"PASS","FAIL"),"FAIL")</f>
        <v>PASS</v>
      </c>
      <c r="L67" s="4" t="str">
        <f aca="false">IF(F67="FAIL","רווחיות; ","")&amp;IF(G67="FAIL","תזרים; ","")&amp;IF(H67="FAIL","תשואה על ההון; ","")&amp;IF(I67="FAIL","מאזן; ","")&amp;IF(J67="FAIL","צמיחה; ","")&amp;IF(K67="FAIL","דילול; ","")</f>
        <v>צמיחה; </v>
      </c>
      <c r="M67" s="4" t="s">
        <v>29</v>
      </c>
      <c r="N67" s="5" t="n">
        <f aca="false">IF(M67="EXTREME",Rules!$B$23,IF(M67="HIGH",Rules!$B$22,Rules!$B$21))</f>
        <v>0.1</v>
      </c>
      <c r="O67" s="6" t="n">
        <v>98.4716422097826</v>
      </c>
      <c r="P67" s="4" t="s">
        <v>30</v>
      </c>
      <c r="Q67" s="4" t="s">
        <v>28</v>
      </c>
      <c r="R67" s="4" t="str">
        <f aca="false">IF(Q67="כן",P67,"לא רלוונטי (SMA200 יורד)")</f>
        <v>לא רלוונטי (SMA200 יורד)</v>
      </c>
      <c r="S67" s="4" t="str">
        <f aca="false">IF(NOT(ISNUMBER(T67)),"n/a",IF(AND(T67&gt;Rules!$B$18,ISNUMBER(U67),U67&lt;Rules!$B$19),"יקרה",IF(T67&lt;Rules!$B$20,"זולה","הוגנת")))</f>
        <v>הוגנת</v>
      </c>
      <c r="T67" s="7" t="n">
        <f aca="false">Data!AA67</f>
        <v>0.862156683679046</v>
      </c>
      <c r="U67" s="8" t="n">
        <f aca="false">Data!AC67</f>
        <v>0.0521115616981662</v>
      </c>
      <c r="V67" s="9" t="n">
        <v>0.0209</v>
      </c>
      <c r="W67" s="5" t="n">
        <v>-0.3587</v>
      </c>
    </row>
    <row r="68" customFormat="false" ht="15" hidden="false" customHeight="false" outlineLevel="0" collapsed="false">
      <c r="A68" s="2" t="str">
        <f aca="false">Data!A68</f>
        <v>HOOD</v>
      </c>
      <c r="B68" s="2" t="str">
        <f aca="false">Data!B68</f>
        <v>Robinhood Markets Inc.</v>
      </c>
      <c r="C68" s="2" t="str">
        <f aca="false">Data!F68</f>
        <v>FIN</v>
      </c>
      <c r="D68" s="3" t="str">
        <f aca="false">IF(E68=0,"CORE",IF(E68=1,"WATCH","NON-CORE"))</f>
        <v>WATCH</v>
      </c>
      <c r="E68" s="4" t="n">
        <f aca="false">COUNTIF(F68:K68,"FAIL")</f>
        <v>1</v>
      </c>
      <c r="F68" s="3" t="str">
        <f aca="false">IF(C68="FIN",IF(Data!M68=Data!H68,"PASS","FAIL"),IF(AND(ISNUMBER(Data!L68),Data!L68&gt;=Rules!$B$5,IF(Data!H68&lt;5,Data!M68=Data!H68,Data!M68&gt;=Rules!$B$6)),"PASS","FAIL"))</f>
        <v>FAIL</v>
      </c>
      <c r="G68" s="3" t="str">
        <f aca="false">IF(C68="FIN","n/a",IF(C68="UTIL/REIT",IF(Data!Q68=Data!H68,"PASS","FAIL"),IF(AND(ISNUMBER(Data!N68),Data!N68&gt;0,IF(Data!H68&lt;5,Data!P68=Data!H68,Data!P68&gt;=Rules!$B$7)),"PASS","FAIL")))</f>
        <v>n/a</v>
      </c>
      <c r="H68" s="3" t="str">
        <f aca="false">IF(C68="FIN",IF(AND(ISNUMBER(Data!S68),Data!S68&gt;=Rules!$B$15),"PASS","FAIL"),IF(AND(ISNUMBER(Data!R68),Data!R68&gt;=Rules!$B$8),"PASS","FAIL"))</f>
        <v>PASS</v>
      </c>
      <c r="I68" s="3" t="str">
        <f aca="false">IF(C68="FIN","n/a",IF(C68="UTIL/REIT",IF(AND(Data!U68&lt;=Rules!$B$16,Data!V68&gt;=Rules!$B$17),"PASS","FAIL"),IF(AND(Data!U68&lt;=Rules!$B$9,Data!V68&gt;=Rules!$B$10),"PASS","FAIL")))</f>
        <v>n/a</v>
      </c>
      <c r="J68" s="3" t="str">
        <f aca="false">IF(AND(ISNUMBER(Data!J68),ISNUMBER(Data!K68)),IF(AND(Data!J68&gt;=Rules!$B$11,Data!K68&gt;=Rules!$B$12),"PASS","FAIL"),"FAIL")</f>
        <v>PASS</v>
      </c>
      <c r="K68" s="3" t="str">
        <f aca="false">IF(AND(ISNUMBER(Data!W68),ISNUMBER(Data!X68)),IF(AND(Data!W68&lt;=Rules!$B$13,Data!X68&lt;=Rules!$B$14),"PASS","FAIL"),"FAIL")</f>
        <v>PASS</v>
      </c>
      <c r="L68" s="4" t="str">
        <f aca="false">IF(F68="FAIL","רווחיות; ","")&amp;IF(G68="FAIL","תזרים; ","")&amp;IF(H68="FAIL","תשואה על ההון; ","")&amp;IF(I68="FAIL","מאזן; ","")&amp;IF(J68="FAIL","צמיחה; ","")&amp;IF(K68="FAIL","דילול; ","")</f>
        <v>רווחיות; </v>
      </c>
      <c r="M68" s="4" t="s">
        <v>26</v>
      </c>
      <c r="N68" s="5" t="n">
        <f aca="false">IF(M68="EXTREME",Rules!$B$23,IF(M68="HIGH",Rules!$B$22,Rules!$B$21))</f>
        <v>0.03</v>
      </c>
      <c r="O68" s="6" t="n">
        <v>53.6992419345361</v>
      </c>
      <c r="P68" s="4" t="s">
        <v>27</v>
      </c>
      <c r="Q68" s="4" t="s">
        <v>28</v>
      </c>
      <c r="R68" s="4" t="str">
        <f aca="false">IF(Q68="כן",P68,"לא רלוונטי (SMA200 יורד)")</f>
        <v>לא רלוונטי (SMA200 יורד)</v>
      </c>
      <c r="S68" s="4" t="str">
        <f aca="false">IF(NOT(ISNUMBER(T68)),"n/a",IF(AND(T68&gt;Rules!$B$18,ISNUMBER(U68),U68&lt;Rules!$B$19),"יקרה",IF(T68&lt;Rules!$B$20,"זולה","הוגנת")))</f>
        <v>הוגנת</v>
      </c>
      <c r="T68" s="7" t="n">
        <f aca="false">Data!AA68</f>
        <v>1.25181857310041</v>
      </c>
      <c r="U68" s="8" t="n">
        <f aca="false">Data!AC68</f>
        <v>0.00178673929628389</v>
      </c>
      <c r="V68" s="9" t="n">
        <v>0.0533</v>
      </c>
      <c r="W68" s="5" t="n">
        <v>-0.8363</v>
      </c>
    </row>
    <row r="69" customFormat="false" ht="15" hidden="false" customHeight="false" outlineLevel="0" collapsed="false">
      <c r="A69" s="2" t="str">
        <f aca="false">Data!A69</f>
        <v>IBM</v>
      </c>
      <c r="B69" s="2" t="str">
        <f aca="false">Data!B69</f>
        <v>IBM Corp.</v>
      </c>
      <c r="C69" s="2" t="str">
        <f aca="false">Data!F69</f>
        <v>STD</v>
      </c>
      <c r="D69" s="3" t="str">
        <f aca="false">IF(E69=0,"CORE",IF(E69=1,"WATCH","NON-CORE"))</f>
        <v>WATCH</v>
      </c>
      <c r="E69" s="4" t="n">
        <f aca="false">COUNTIF(F69:K69,"FAIL")</f>
        <v>1</v>
      </c>
      <c r="F69" s="3" t="str">
        <f aca="false">IF(C69="FIN",IF(Data!M69=Data!H69,"PASS","FAIL"),IF(AND(ISNUMBER(Data!L69),Data!L69&gt;=Rules!$B$5,IF(Data!H69&lt;5,Data!M69=Data!H69,Data!M69&gt;=Rules!$B$6)),"PASS","FAIL"))</f>
        <v>PASS</v>
      </c>
      <c r="G69" s="3" t="str">
        <f aca="false">IF(C69="FIN","n/a",IF(C69="UTIL/REIT",IF(Data!Q69=Data!H69,"PASS","FAIL"),IF(AND(ISNUMBER(Data!N69),Data!N69&gt;0,IF(Data!H69&lt;5,Data!P69=Data!H69,Data!P69&gt;=Rules!$B$7)),"PASS","FAIL")))</f>
        <v>PASS</v>
      </c>
      <c r="H69" s="3" t="str">
        <f aca="false">IF(C69="FIN",IF(AND(ISNUMBER(Data!S69),Data!S69&gt;=Rules!$B$15),"PASS","FAIL"),IF(AND(ISNUMBER(Data!R69),Data!R69&gt;=Rules!$B$8),"PASS","FAIL"))</f>
        <v>PASS</v>
      </c>
      <c r="I69" s="3" t="str">
        <f aca="false">IF(C69="FIN","n/a",IF(C69="UTIL/REIT",IF(AND(Data!U69&lt;=Rules!$B$16,Data!V69&gt;=Rules!$B$17),"PASS","FAIL"),IF(AND(Data!U69&lt;=Rules!$B$9,Data!V69&gt;=Rules!$B$10),"PASS","FAIL")))</f>
        <v>FAIL</v>
      </c>
      <c r="J69" s="3" t="str">
        <f aca="false">IF(AND(ISNUMBER(Data!J69),ISNUMBER(Data!K69)),IF(AND(Data!J69&gt;=Rules!$B$11,Data!K69&gt;=Rules!$B$12),"PASS","FAIL"),"FAIL")</f>
        <v>PASS</v>
      </c>
      <c r="K69" s="3" t="str">
        <f aca="false">IF(AND(ISNUMBER(Data!W69),ISNUMBER(Data!X69)),IF(AND(Data!W69&lt;=Rules!$B$13,Data!X69&lt;=Rules!$B$14),"PASS","FAIL"),"FAIL")</f>
        <v>PASS</v>
      </c>
      <c r="L69" s="4" t="str">
        <f aca="false">IF(F69="FAIL","רווחיות; ","")&amp;IF(G69="FAIL","תזרים; ","")&amp;IF(H69="FAIL","תשואה על ההון; ","")&amp;IF(I69="FAIL","מאזן; ","")&amp;IF(J69="FAIL","צמיחה; ","")&amp;IF(K69="FAIL","דילול; ","")</f>
        <v>מאזן; </v>
      </c>
      <c r="M69" s="4" t="s">
        <v>23</v>
      </c>
      <c r="N69" s="5" t="n">
        <f aca="false">IF(M69="EXTREME",Rules!$B$23,IF(M69="HIGH",Rules!$B$22,Rules!$B$21))</f>
        <v>0.06</v>
      </c>
      <c r="O69" s="6" t="n">
        <v>97.270897982473</v>
      </c>
      <c r="P69" s="4" t="s">
        <v>30</v>
      </c>
      <c r="Q69" s="4" t="s">
        <v>28</v>
      </c>
      <c r="R69" s="4" t="str">
        <f aca="false">IF(Q69="כן",P69,"לא רלוונטי (SMA200 יורד)")</f>
        <v>לא רלוונטי (SMA200 יורד)</v>
      </c>
      <c r="S69" s="4" t="str">
        <f aca="false">IF(NOT(ISNUMBER(T69)),"n/a",IF(AND(T69&gt;Rules!$B$18,ISNUMBER(U69),U69&lt;Rules!$B$19),"יקרה",IF(T69&lt;Rules!$B$20,"זולה","הוגנת")))</f>
        <v>זולה</v>
      </c>
      <c r="T69" s="7" t="n">
        <f aca="false">Data!AA69</f>
        <v>0.770674292948957</v>
      </c>
      <c r="U69" s="8" t="n">
        <f aca="false">Data!AC69</f>
        <v>0.0637310276487412</v>
      </c>
      <c r="V69" s="9" t="n">
        <v>0.0298</v>
      </c>
      <c r="W69" s="5" t="n">
        <v>-0.3747</v>
      </c>
    </row>
    <row r="70" customFormat="false" ht="15" hidden="false" customHeight="false" outlineLevel="0" collapsed="false">
      <c r="A70" s="2" t="str">
        <f aca="false">Data!A70</f>
        <v>ICE</v>
      </c>
      <c r="B70" s="2" t="str">
        <f aca="false">Data!B70</f>
        <v>Intercontinental Exchange Inc.</v>
      </c>
      <c r="C70" s="2" t="str">
        <f aca="false">Data!F70</f>
        <v>STD</v>
      </c>
      <c r="D70" s="3" t="str">
        <f aca="false">IF(E70=0,"CORE",IF(E70=1,"WATCH","NON-CORE"))</f>
        <v>WATCH</v>
      </c>
      <c r="E70" s="4" t="n">
        <f aca="false">COUNTIF(F70:K70,"FAIL")</f>
        <v>1</v>
      </c>
      <c r="F70" s="3" t="str">
        <f aca="false">IF(C70="FIN",IF(Data!M70=Data!H70,"PASS","FAIL"),IF(AND(ISNUMBER(Data!L70),Data!L70&gt;=Rules!$B$5,IF(Data!H70&lt;5,Data!M70=Data!H70,Data!M70&gt;=Rules!$B$6)),"PASS","FAIL"))</f>
        <v>PASS</v>
      </c>
      <c r="G70" s="3" t="str">
        <f aca="false">IF(C70="FIN","n/a",IF(C70="UTIL/REIT",IF(Data!Q70=Data!H70,"PASS","FAIL"),IF(AND(ISNUMBER(Data!N70),Data!N70&gt;0,IF(Data!H70&lt;5,Data!P70=Data!H70,Data!P70&gt;=Rules!$B$7)),"PASS","FAIL")))</f>
        <v>PASS</v>
      </c>
      <c r="H70" s="3" t="str">
        <f aca="false">IF(C70="FIN",IF(AND(ISNUMBER(Data!S70),Data!S70&gt;=Rules!$B$15),"PASS","FAIL"),IF(AND(ISNUMBER(Data!R70),Data!R70&gt;=Rules!$B$8),"PASS","FAIL"))</f>
        <v>FAIL</v>
      </c>
      <c r="I70" s="3" t="str">
        <f aca="false">IF(C70="FIN","n/a",IF(C70="UTIL/REIT",IF(AND(Data!U70&lt;=Rules!$B$16,Data!V70&gt;=Rules!$B$17),"PASS","FAIL"),IF(AND(Data!U70&lt;=Rules!$B$9,Data!V70&gt;=Rules!$B$10),"PASS","FAIL")))</f>
        <v>PASS</v>
      </c>
      <c r="J70" s="3" t="str">
        <f aca="false">IF(AND(ISNUMBER(Data!J70),ISNUMBER(Data!K70)),IF(AND(Data!J70&gt;=Rules!$B$11,Data!K70&gt;=Rules!$B$12),"PASS","FAIL"),"FAIL")</f>
        <v>PASS</v>
      </c>
      <c r="K70" s="3" t="str">
        <f aca="false">IF(AND(ISNUMBER(Data!W70),ISNUMBER(Data!X70)),IF(AND(Data!W70&lt;=Rules!$B$13,Data!X70&lt;=Rules!$B$14),"PASS","FAIL"),"FAIL")</f>
        <v>PASS</v>
      </c>
      <c r="L70" s="4" t="str">
        <f aca="false">IF(F70="FAIL","רווחיות; ","")&amp;IF(G70="FAIL","תזרים; ","")&amp;IF(H70="FAIL","תשואה על ההון; ","")&amp;IF(I70="FAIL","מאזן; ","")&amp;IF(J70="FAIL","צמיחה; ","")&amp;IF(K70="FAIL","דילול; ","")</f>
        <v>תשואה על ההון; </v>
      </c>
      <c r="M70" s="4" t="s">
        <v>29</v>
      </c>
      <c r="N70" s="5" t="n">
        <f aca="false">IF(M70="EXTREME",Rules!$B$23,IF(M70="HIGH",Rules!$B$22,Rules!$B$21))</f>
        <v>0.1</v>
      </c>
      <c r="O70" s="6" t="n">
        <v>69.4898081046089</v>
      </c>
      <c r="P70" s="4" t="s">
        <v>27</v>
      </c>
      <c r="Q70" s="4" t="s">
        <v>25</v>
      </c>
      <c r="R70" s="4" t="str">
        <f aca="false">IF(Q70="כן",P70,"לא רלוונטי (SMA200 יורד)")</f>
        <v>Q3</v>
      </c>
      <c r="S70" s="4" t="str">
        <f aca="false">IF(NOT(ISNUMBER(T70)),"n/a",IF(AND(T70&gt;Rules!$B$18,ISNUMBER(U70),U70&lt;Rules!$B$19),"יקרה",IF(T70&lt;Rules!$B$20,"זולה","הוגנת")))</f>
        <v>זולה</v>
      </c>
      <c r="T70" s="7" t="n">
        <f aca="false">Data!AA70</f>
        <v>0.727369257613285</v>
      </c>
      <c r="U70" s="8" t="n">
        <f aca="false">Data!AC70</f>
        <v>0.0546075054833981</v>
      </c>
      <c r="V70" s="9" t="n">
        <v>0.0222</v>
      </c>
      <c r="W70" s="5" t="n">
        <v>-0.3518</v>
      </c>
    </row>
    <row r="71" customFormat="false" ht="15" hidden="false" customHeight="false" outlineLevel="0" collapsed="false">
      <c r="A71" s="2" t="str">
        <f aca="false">Data!A71</f>
        <v>LIN</v>
      </c>
      <c r="B71" s="2" t="str">
        <f aca="false">Data!B71</f>
        <v>Linde PLC</v>
      </c>
      <c r="C71" s="2" t="str">
        <f aca="false">Data!F71</f>
        <v>STD</v>
      </c>
      <c r="D71" s="3" t="str">
        <f aca="false">IF(E71=0,"CORE",IF(E71=1,"WATCH","NON-CORE"))</f>
        <v>WATCH</v>
      </c>
      <c r="E71" s="4" t="n">
        <f aca="false">COUNTIF(F71:K71,"FAIL")</f>
        <v>1</v>
      </c>
      <c r="F71" s="3" t="str">
        <f aca="false">IF(C71="FIN",IF(Data!M71=Data!H71,"PASS","FAIL"),IF(AND(ISNUMBER(Data!L71),Data!L71&gt;=Rules!$B$5,IF(Data!H71&lt;5,Data!M71=Data!H71,Data!M71&gt;=Rules!$B$6)),"PASS","FAIL"))</f>
        <v>PASS</v>
      </c>
      <c r="G71" s="3" t="str">
        <f aca="false">IF(C71="FIN","n/a",IF(C71="UTIL/REIT",IF(Data!Q71=Data!H71,"PASS","FAIL"),IF(AND(ISNUMBER(Data!N71),Data!N71&gt;0,IF(Data!H71&lt;5,Data!P71=Data!H71,Data!P71&gt;=Rules!$B$7)),"PASS","FAIL")))</f>
        <v>PASS</v>
      </c>
      <c r="H71" s="3" t="str">
        <f aca="false">IF(C71="FIN",IF(AND(ISNUMBER(Data!S71),Data!S71&gt;=Rules!$B$15),"PASS","FAIL"),IF(AND(ISNUMBER(Data!R71),Data!R71&gt;=Rules!$B$8),"PASS","FAIL"))</f>
        <v>PASS</v>
      </c>
      <c r="I71" s="3" t="str">
        <f aca="false">IF(C71="FIN","n/a",IF(C71="UTIL/REIT",IF(AND(Data!U71&lt;=Rules!$B$16,Data!V71&gt;=Rules!$B$17),"PASS","FAIL"),IF(AND(Data!U71&lt;=Rules!$B$9,Data!V71&gt;=Rules!$B$10),"PASS","FAIL")))</f>
        <v>PASS</v>
      </c>
      <c r="J71" s="3" t="str">
        <f aca="false">IF(AND(ISNUMBER(Data!J71),ISNUMBER(Data!K71)),IF(AND(Data!J71&gt;=Rules!$B$11,Data!K71&gt;=Rules!$B$12),"PASS","FAIL"),"FAIL")</f>
        <v>FAIL</v>
      </c>
      <c r="K71" s="3" t="str">
        <f aca="false">IF(AND(ISNUMBER(Data!W71),ISNUMBER(Data!X71)),IF(AND(Data!W71&lt;=Rules!$B$13,Data!X71&lt;=Rules!$B$14),"PASS","FAIL"),"FAIL")</f>
        <v>PASS</v>
      </c>
      <c r="L71" s="4" t="str">
        <f aca="false">IF(F71="FAIL","רווחיות; ","")&amp;IF(G71="FAIL","תזרים; ","")&amp;IF(H71="FAIL","תשואה על ההון; ","")&amp;IF(I71="FAIL","מאזן; ","")&amp;IF(J71="FAIL","צמיחה; ","")&amp;IF(K71="FAIL","דילול; ","")</f>
        <v>צמיחה; </v>
      </c>
      <c r="M71" s="4" t="s">
        <v>29</v>
      </c>
      <c r="N71" s="5" t="n">
        <f aca="false">IF(M71="EXTREME",Rules!$B$23,IF(M71="HIGH",Rules!$B$22,Rules!$B$21))</f>
        <v>0.1</v>
      </c>
      <c r="O71" s="6" t="n">
        <v>87.8945532645722</v>
      </c>
      <c r="P71" s="4" t="s">
        <v>30</v>
      </c>
      <c r="Q71" s="4" t="s">
        <v>25</v>
      </c>
      <c r="R71" s="4" t="str">
        <f aca="false">IF(Q71="כן",P71,"לא רלוונטי (SMA200 יורד)")</f>
        <v>Q4</v>
      </c>
      <c r="S71" s="4" t="str">
        <f aca="false">IF(NOT(ISNUMBER(T71)),"n/a",IF(AND(T71&gt;Rules!$B$18,ISNUMBER(U71),U71&lt;Rules!$B$19),"יקרה",IF(T71&lt;Rules!$B$20,"זולה","הוגנת")))</f>
        <v>הוגנת</v>
      </c>
      <c r="T71" s="7" t="n">
        <f aca="false">Data!AA71</f>
        <v>0.973130798199544</v>
      </c>
      <c r="U71" s="8" t="n">
        <f aca="false">Data!AC71</f>
        <v>0.0219341664357407</v>
      </c>
      <c r="V71" s="9" t="n">
        <v>0.0163</v>
      </c>
      <c r="W71" s="5" t="n">
        <v>-0.2371</v>
      </c>
    </row>
    <row r="72" customFormat="false" ht="15" hidden="false" customHeight="false" outlineLevel="0" collapsed="false">
      <c r="A72" s="2" t="str">
        <f aca="false">Data!A72</f>
        <v>MCD</v>
      </c>
      <c r="B72" s="2" t="str">
        <f aca="false">Data!B72</f>
        <v>McDonald's Corp.</v>
      </c>
      <c r="C72" s="2" t="str">
        <f aca="false">Data!F72</f>
        <v>STD</v>
      </c>
      <c r="D72" s="3" t="str">
        <f aca="false">IF(E72=0,"CORE",IF(E72=1,"WATCH","NON-CORE"))</f>
        <v>WATCH</v>
      </c>
      <c r="E72" s="4" t="n">
        <f aca="false">COUNTIF(F72:K72,"FAIL")</f>
        <v>1</v>
      </c>
      <c r="F72" s="3" t="str">
        <f aca="false">IF(C72="FIN",IF(Data!M72=Data!H72,"PASS","FAIL"),IF(AND(ISNUMBER(Data!L72),Data!L72&gt;=Rules!$B$5,IF(Data!H72&lt;5,Data!M72=Data!H72,Data!M72&gt;=Rules!$B$6)),"PASS","FAIL"))</f>
        <v>PASS</v>
      </c>
      <c r="G72" s="3" t="str">
        <f aca="false">IF(C72="FIN","n/a",IF(C72="UTIL/REIT",IF(Data!Q72=Data!H72,"PASS","FAIL"),IF(AND(ISNUMBER(Data!N72),Data!N72&gt;0,IF(Data!H72&lt;5,Data!P72=Data!H72,Data!P72&gt;=Rules!$B$7)),"PASS","FAIL")))</f>
        <v>PASS</v>
      </c>
      <c r="H72" s="3" t="str">
        <f aca="false">IF(C72="FIN",IF(AND(ISNUMBER(Data!S72),Data!S72&gt;=Rules!$B$15),"PASS","FAIL"),IF(AND(ISNUMBER(Data!R72),Data!R72&gt;=Rules!$B$8),"PASS","FAIL"))</f>
        <v>PASS</v>
      </c>
      <c r="I72" s="3" t="str">
        <f aca="false">IF(C72="FIN","n/a",IF(C72="UTIL/REIT",IF(AND(Data!U72&lt;=Rules!$B$16,Data!V72&gt;=Rules!$B$17),"PASS","FAIL"),IF(AND(Data!U72&lt;=Rules!$B$9,Data!V72&gt;=Rules!$B$10),"PASS","FAIL")))</f>
        <v>FAIL</v>
      </c>
      <c r="J72" s="3" t="str">
        <f aca="false">IF(AND(ISNUMBER(Data!J72),ISNUMBER(Data!K72)),IF(AND(Data!J72&gt;=Rules!$B$11,Data!K72&gt;=Rules!$B$12),"PASS","FAIL"),"FAIL")</f>
        <v>PASS</v>
      </c>
      <c r="K72" s="3" t="str">
        <f aca="false">IF(AND(ISNUMBER(Data!W72),ISNUMBER(Data!X72)),IF(AND(Data!W72&lt;=Rules!$B$13,Data!X72&lt;=Rules!$B$14),"PASS","FAIL"),"FAIL")</f>
        <v>PASS</v>
      </c>
      <c r="L72" s="4" t="str">
        <f aca="false">IF(F72="FAIL","רווחיות; ","")&amp;IF(G72="FAIL","תזרים; ","")&amp;IF(H72="FAIL","תשואה על ההון; ","")&amp;IF(I72="FAIL","מאזן; ","")&amp;IF(J72="FAIL","צמיחה; ","")&amp;IF(K72="FAIL","דילול; ","")</f>
        <v>מאזן; </v>
      </c>
      <c r="M72" s="4" t="s">
        <v>29</v>
      </c>
      <c r="N72" s="5" t="n">
        <f aca="false">IF(M72="EXTREME",Rules!$B$23,IF(M72="HIGH",Rules!$B$22,Rules!$B$21))</f>
        <v>0.1</v>
      </c>
      <c r="O72" s="6" t="n">
        <v>100</v>
      </c>
      <c r="P72" s="4" t="s">
        <v>30</v>
      </c>
      <c r="Q72" s="4" t="s">
        <v>28</v>
      </c>
      <c r="R72" s="4" t="str">
        <f aca="false">IF(Q72="כן",P72,"לא רלוונטי (SMA200 יורד)")</f>
        <v>לא רלוונטי (SMA200 יורד)</v>
      </c>
      <c r="S72" s="4" t="str">
        <f aca="false">IF(NOT(ISNUMBER(T72)),"n/a",IF(AND(T72&gt;Rules!$B$18,ISNUMBER(U72),U72&lt;Rules!$B$19),"יקרה",IF(T72&lt;Rules!$B$20,"זולה","הוגנת")))</f>
        <v>זולה</v>
      </c>
      <c r="T72" s="7" t="n">
        <f aca="false">Data!AA72</f>
        <v>0.750703306050884</v>
      </c>
      <c r="U72" s="8" t="n">
        <f aca="false">Data!AC72</f>
        <v>0.0462494758723471</v>
      </c>
      <c r="V72" s="9" t="n">
        <v>0.0183</v>
      </c>
      <c r="W72" s="5" t="n">
        <v>-0.3223</v>
      </c>
    </row>
    <row r="73" customFormat="false" ht="15" hidden="false" customHeight="false" outlineLevel="0" collapsed="false">
      <c r="A73" s="2" t="str">
        <f aca="false">Data!A73</f>
        <v>MDT</v>
      </c>
      <c r="B73" s="2" t="str">
        <f aca="false">Data!B73</f>
        <v>Medtronic PLC</v>
      </c>
      <c r="C73" s="2" t="str">
        <f aca="false">Data!F73</f>
        <v>STD</v>
      </c>
      <c r="D73" s="3" t="str">
        <f aca="false">IF(E73=0,"CORE",IF(E73=1,"WATCH","NON-CORE"))</f>
        <v>WATCH</v>
      </c>
      <c r="E73" s="4" t="n">
        <f aca="false">COUNTIF(F73:K73,"FAIL")</f>
        <v>1</v>
      </c>
      <c r="F73" s="3" t="str">
        <f aca="false">IF(C73="FIN",IF(Data!M73=Data!H73,"PASS","FAIL"),IF(AND(ISNUMBER(Data!L73),Data!L73&gt;=Rules!$B$5,IF(Data!H73&lt;5,Data!M73=Data!H73,Data!M73&gt;=Rules!$B$6)),"PASS","FAIL"))</f>
        <v>PASS</v>
      </c>
      <c r="G73" s="3" t="str">
        <f aca="false">IF(C73="FIN","n/a",IF(C73="UTIL/REIT",IF(Data!Q73=Data!H73,"PASS","FAIL"),IF(AND(ISNUMBER(Data!N73),Data!N73&gt;0,IF(Data!H73&lt;5,Data!P73=Data!H73,Data!P73&gt;=Rules!$B$7)),"PASS","FAIL")))</f>
        <v>PASS</v>
      </c>
      <c r="H73" s="3" t="str">
        <f aca="false">IF(C73="FIN",IF(AND(ISNUMBER(Data!S73),Data!S73&gt;=Rules!$B$15),"PASS","FAIL"),IF(AND(ISNUMBER(Data!R73),Data!R73&gt;=Rules!$B$8),"PASS","FAIL"))</f>
        <v>FAIL</v>
      </c>
      <c r="I73" s="3" t="str">
        <f aca="false">IF(C73="FIN","n/a",IF(C73="UTIL/REIT",IF(AND(Data!U73&lt;=Rules!$B$16,Data!V73&gt;=Rules!$B$17),"PASS","FAIL"),IF(AND(Data!U73&lt;=Rules!$B$9,Data!V73&gt;=Rules!$B$10),"PASS","FAIL")))</f>
        <v>PASS</v>
      </c>
      <c r="J73" s="3" t="str">
        <f aca="false">IF(AND(ISNUMBER(Data!J73),ISNUMBER(Data!K73)),IF(AND(Data!J73&gt;=Rules!$B$11,Data!K73&gt;=Rules!$B$12),"PASS","FAIL"),"FAIL")</f>
        <v>PASS</v>
      </c>
      <c r="K73" s="3" t="str">
        <f aca="false">IF(AND(ISNUMBER(Data!W73),ISNUMBER(Data!X73)),IF(AND(Data!W73&lt;=Rules!$B$13,Data!X73&lt;=Rules!$B$14),"PASS","FAIL"),"FAIL")</f>
        <v>PASS</v>
      </c>
      <c r="L73" s="4" t="str">
        <f aca="false">IF(F73="FAIL","רווחיות; ","")&amp;IF(G73="FAIL","תזרים; ","")&amp;IF(H73="FAIL","תשואה על ההון; ","")&amp;IF(I73="FAIL","מאזן; ","")&amp;IF(J73="FAIL","צמיחה; ","")&amp;IF(K73="FAIL","דילול; ","")</f>
        <v>תשואה על ההון; </v>
      </c>
      <c r="M73" s="4" t="s">
        <v>29</v>
      </c>
      <c r="N73" s="5" t="n">
        <f aca="false">IF(M73="EXTREME",Rules!$B$23,IF(M73="HIGH",Rules!$B$22,Rules!$B$21))</f>
        <v>0.1</v>
      </c>
      <c r="O73" s="6" t="n">
        <v>76.5502882767457</v>
      </c>
      <c r="P73" s="4" t="s">
        <v>30</v>
      </c>
      <c r="Q73" s="4" t="s">
        <v>28</v>
      </c>
      <c r="R73" s="4" t="str">
        <f aca="false">IF(Q73="כן",P73,"לא רלוונטי (SMA200 יורד)")</f>
        <v>לא רלוונטי (SMA200 יורד)</v>
      </c>
      <c r="S73" s="4" t="str">
        <f aca="false">IF(NOT(ISNUMBER(T73)),"n/a",IF(AND(T73&gt;Rules!$B$18,ISNUMBER(U73),U73&lt;Rules!$B$19),"יקרה",IF(T73&lt;Rules!$B$20,"זולה","הוגנת")))</f>
        <v>הוגנת</v>
      </c>
      <c r="T73" s="7" t="n">
        <f aca="false">Data!AA73</f>
        <v>0.804765523891813</v>
      </c>
      <c r="U73" s="8" t="n">
        <f aca="false">Data!AC73</f>
        <v>0.0522973566978228</v>
      </c>
      <c r="V73" s="9" t="n">
        <v>0.0224</v>
      </c>
      <c r="W73" s="5" t="n">
        <v>-0.4563</v>
      </c>
    </row>
    <row r="74" customFormat="false" ht="15" hidden="false" customHeight="false" outlineLevel="0" collapsed="false">
      <c r="A74" s="2" t="str">
        <f aca="false">Data!A74</f>
        <v>PEP</v>
      </c>
      <c r="B74" s="2" t="str">
        <f aca="false">Data!B74</f>
        <v>PepsiCo Inc.</v>
      </c>
      <c r="C74" s="2" t="str">
        <f aca="false">Data!F74</f>
        <v>STD</v>
      </c>
      <c r="D74" s="3" t="str">
        <f aca="false">IF(E74=0,"CORE",IF(E74=1,"WATCH","NON-CORE"))</f>
        <v>WATCH</v>
      </c>
      <c r="E74" s="4" t="n">
        <f aca="false">COUNTIF(F74:K74,"FAIL")</f>
        <v>1</v>
      </c>
      <c r="F74" s="3" t="str">
        <f aca="false">IF(C74="FIN",IF(Data!M74=Data!H74,"PASS","FAIL"),IF(AND(ISNUMBER(Data!L74),Data!L74&gt;=Rules!$B$5,IF(Data!H74&lt;5,Data!M74=Data!H74,Data!M74&gt;=Rules!$B$6)),"PASS","FAIL"))</f>
        <v>PASS</v>
      </c>
      <c r="G74" s="3" t="str">
        <f aca="false">IF(C74="FIN","n/a",IF(C74="UTIL/REIT",IF(Data!Q74=Data!H74,"PASS","FAIL"),IF(AND(ISNUMBER(Data!N74),Data!N74&gt;0,IF(Data!H74&lt;5,Data!P74=Data!H74,Data!P74&gt;=Rules!$B$7)),"PASS","FAIL")))</f>
        <v>PASS</v>
      </c>
      <c r="H74" s="3" t="str">
        <f aca="false">IF(C74="FIN",IF(AND(ISNUMBER(Data!S74),Data!S74&gt;=Rules!$B$15),"PASS","FAIL"),IF(AND(ISNUMBER(Data!R74),Data!R74&gt;=Rules!$B$8),"PASS","FAIL"))</f>
        <v>PASS</v>
      </c>
      <c r="I74" s="3" t="str">
        <f aca="false">IF(C74="FIN","n/a",IF(C74="UTIL/REIT",IF(AND(Data!U74&lt;=Rules!$B$16,Data!V74&gt;=Rules!$B$17),"PASS","FAIL"),IF(AND(Data!U74&lt;=Rules!$B$9,Data!V74&gt;=Rules!$B$10),"PASS","FAIL")))</f>
        <v>PASS</v>
      </c>
      <c r="J74" s="3" t="str">
        <f aca="false">IF(AND(ISNUMBER(Data!J74),ISNUMBER(Data!K74)),IF(AND(Data!J74&gt;=Rules!$B$11,Data!K74&gt;=Rules!$B$12),"PASS","FAIL"),"FAIL")</f>
        <v>FAIL</v>
      </c>
      <c r="K74" s="3" t="str">
        <f aca="false">IF(AND(ISNUMBER(Data!W74),ISNUMBER(Data!X74)),IF(AND(Data!W74&lt;=Rules!$B$13,Data!X74&lt;=Rules!$B$14),"PASS","FAIL"),"FAIL")</f>
        <v>PASS</v>
      </c>
      <c r="L74" s="4" t="str">
        <f aca="false">IF(F74="FAIL","רווחיות; ","")&amp;IF(G74="FAIL","תזרים; ","")&amp;IF(H74="FAIL","תשואה על ההון; ","")&amp;IF(I74="FAIL","מאזן; ","")&amp;IF(J74="FAIL","צמיחה; ","")&amp;IF(K74="FAIL","דילול; ","")</f>
        <v>צמיחה; </v>
      </c>
      <c r="M74" s="4" t="s">
        <v>29</v>
      </c>
      <c r="N74" s="5" t="n">
        <f aca="false">IF(M74="EXTREME",Rules!$B$23,IF(M74="HIGH",Rules!$B$22,Rules!$B$21))</f>
        <v>0.1</v>
      </c>
      <c r="O74" s="6" t="n">
        <v>95.6150111747835</v>
      </c>
      <c r="P74" s="4" t="s">
        <v>30</v>
      </c>
      <c r="Q74" s="4" t="s">
        <v>28</v>
      </c>
      <c r="R74" s="4" t="str">
        <f aca="false">IF(Q74="כן",P74,"לא רלוונטי (SMA200 יורד)")</f>
        <v>לא רלוונטי (SMA200 יורד)</v>
      </c>
      <c r="S74" s="4" t="str">
        <f aca="false">IF(NOT(ISNUMBER(T74)),"n/a",IF(AND(T74&gt;Rules!$B$18,ISNUMBER(U74),U74&lt;Rules!$B$19),"יקרה",IF(T74&lt;Rules!$B$20,"זולה","הוגנת")))</f>
        <v>זולה</v>
      </c>
      <c r="T74" s="7" t="n">
        <f aca="false">Data!AA74</f>
        <v>0.616730130830936</v>
      </c>
      <c r="U74" s="8" t="n">
        <f aca="false">Data!AC74</f>
        <v>0.0605103138561511</v>
      </c>
      <c r="V74" s="9" t="n">
        <v>0.0168</v>
      </c>
      <c r="W74" s="5" t="n">
        <v>-0.354</v>
      </c>
    </row>
    <row r="75" customFormat="false" ht="15" hidden="false" customHeight="false" outlineLevel="0" collapsed="false">
      <c r="A75" s="2" t="str">
        <f aca="false">Data!A75</f>
        <v>PG</v>
      </c>
      <c r="B75" s="2" t="str">
        <f aca="false">Data!B75</f>
        <v>Procter &amp; Gamble Co.</v>
      </c>
      <c r="C75" s="2" t="str">
        <f aca="false">Data!F75</f>
        <v>STD</v>
      </c>
      <c r="D75" s="3" t="str">
        <f aca="false">IF(E75=0,"CORE",IF(E75=1,"WATCH","NON-CORE"))</f>
        <v>WATCH</v>
      </c>
      <c r="E75" s="4" t="n">
        <f aca="false">COUNTIF(F75:K75,"FAIL")</f>
        <v>1</v>
      </c>
      <c r="F75" s="3" t="str">
        <f aca="false">IF(C75="FIN",IF(Data!M75=Data!H75,"PASS","FAIL"),IF(AND(ISNUMBER(Data!L75),Data!L75&gt;=Rules!$B$5,IF(Data!H75&lt;5,Data!M75=Data!H75,Data!M75&gt;=Rules!$B$6)),"PASS","FAIL"))</f>
        <v>PASS</v>
      </c>
      <c r="G75" s="3" t="str">
        <f aca="false">IF(C75="FIN","n/a",IF(C75="UTIL/REIT",IF(Data!Q75=Data!H75,"PASS","FAIL"),IF(AND(ISNUMBER(Data!N75),Data!N75&gt;0,IF(Data!H75&lt;5,Data!P75=Data!H75,Data!P75&gt;=Rules!$B$7)),"PASS","FAIL")))</f>
        <v>PASS</v>
      </c>
      <c r="H75" s="3" t="str">
        <f aca="false">IF(C75="FIN",IF(AND(ISNUMBER(Data!S75),Data!S75&gt;=Rules!$B$15),"PASS","FAIL"),IF(AND(ISNUMBER(Data!R75),Data!R75&gt;=Rules!$B$8),"PASS","FAIL"))</f>
        <v>PASS</v>
      </c>
      <c r="I75" s="3" t="str">
        <f aca="false">IF(C75="FIN","n/a",IF(C75="UTIL/REIT",IF(AND(Data!U75&lt;=Rules!$B$16,Data!V75&gt;=Rules!$B$17),"PASS","FAIL"),IF(AND(Data!U75&lt;=Rules!$B$9,Data!V75&gt;=Rules!$B$10),"PASS","FAIL")))</f>
        <v>PASS</v>
      </c>
      <c r="J75" s="3" t="str">
        <f aca="false">IF(AND(ISNUMBER(Data!J75),ISNUMBER(Data!K75)),IF(AND(Data!J75&gt;=Rules!$B$11,Data!K75&gt;=Rules!$B$12),"PASS","FAIL"),"FAIL")</f>
        <v>FAIL</v>
      </c>
      <c r="K75" s="3" t="str">
        <f aca="false">IF(AND(ISNUMBER(Data!W75),ISNUMBER(Data!X75)),IF(AND(Data!W75&lt;=Rules!$B$13,Data!X75&lt;=Rules!$B$14),"PASS","FAIL"),"FAIL")</f>
        <v>PASS</v>
      </c>
      <c r="L75" s="4" t="str">
        <f aca="false">IF(F75="FAIL","רווחיות; ","")&amp;IF(G75="FAIL","תזרים; ","")&amp;IF(H75="FAIL","תשואה על ההון; ","")&amp;IF(I75="FAIL","מאזן; ","")&amp;IF(J75="FAIL","צמיחה; ","")&amp;IF(K75="FAIL","דילול; ","")</f>
        <v>צמיחה; </v>
      </c>
      <c r="M75" s="4" t="s">
        <v>29</v>
      </c>
      <c r="N75" s="5" t="n">
        <f aca="false">IF(M75="EXTREME",Rules!$B$23,IF(M75="HIGH",Rules!$B$22,Rules!$B$21))</f>
        <v>0.1</v>
      </c>
      <c r="O75" s="6" t="n">
        <v>66.709381699894</v>
      </c>
      <c r="P75" s="4" t="s">
        <v>27</v>
      </c>
      <c r="Q75" s="4" t="s">
        <v>25</v>
      </c>
      <c r="R75" s="4" t="str">
        <f aca="false">IF(Q75="כן",P75,"לא רלוונטי (SMA200 יורד)")</f>
        <v>Q3</v>
      </c>
      <c r="S75" s="4" t="str">
        <f aca="false">IF(NOT(ISNUMBER(T75)),"n/a",IF(AND(T75&gt;Rules!$B$18,ISNUMBER(U75),U75&lt;Rules!$B$19),"יקרה",IF(T75&lt;Rules!$B$20,"זולה","הוגנת")))</f>
        <v>הוגנת</v>
      </c>
      <c r="T75" s="7" t="n">
        <f aca="false">Data!AA75</f>
        <v>0.94378375872221</v>
      </c>
      <c r="U75" s="8" t="n">
        <f aca="false">Data!AC75</f>
        <v>0.0438461033181154</v>
      </c>
      <c r="V75" s="9" t="n">
        <v>0.0167</v>
      </c>
      <c r="W75" s="5" t="n">
        <v>-0.2463</v>
      </c>
    </row>
    <row r="76" customFormat="false" ht="15" hidden="false" customHeight="false" outlineLevel="0" collapsed="false">
      <c r="A76" s="2" t="str">
        <f aca="false">Data!A76</f>
        <v>QCOM</v>
      </c>
      <c r="B76" s="2" t="str">
        <f aca="false">Data!B76</f>
        <v>Qualcomm Inc.</v>
      </c>
      <c r="C76" s="2" t="str">
        <f aca="false">Data!F76</f>
        <v>STD</v>
      </c>
      <c r="D76" s="3" t="str">
        <f aca="false">IF(E76=0,"CORE",IF(E76=1,"WATCH","NON-CORE"))</f>
        <v>WATCH</v>
      </c>
      <c r="E76" s="4" t="n">
        <f aca="false">COUNTIF(F76:K76,"FAIL")</f>
        <v>1</v>
      </c>
      <c r="F76" s="3" t="str">
        <f aca="false">IF(C76="FIN",IF(Data!M76=Data!H76,"PASS","FAIL"),IF(AND(ISNUMBER(Data!L76),Data!L76&gt;=Rules!$B$5,IF(Data!H76&lt;5,Data!M76=Data!H76,Data!M76&gt;=Rules!$B$6)),"PASS","FAIL"))</f>
        <v>PASS</v>
      </c>
      <c r="G76" s="3" t="str">
        <f aca="false">IF(C76="FIN","n/a",IF(C76="UTIL/REIT",IF(Data!Q76=Data!H76,"PASS","FAIL"),IF(AND(ISNUMBER(Data!N76),Data!N76&gt;0,IF(Data!H76&lt;5,Data!P76=Data!H76,Data!P76&gt;=Rules!$B$7)),"PASS","FAIL")))</f>
        <v>PASS</v>
      </c>
      <c r="H76" s="3" t="str">
        <f aca="false">IF(C76="FIN",IF(AND(ISNUMBER(Data!S76),Data!S76&gt;=Rules!$B$15),"PASS","FAIL"),IF(AND(ISNUMBER(Data!R76),Data!R76&gt;=Rules!$B$8),"PASS","FAIL"))</f>
        <v>PASS</v>
      </c>
      <c r="I76" s="3" t="str">
        <f aca="false">IF(C76="FIN","n/a",IF(C76="UTIL/REIT",IF(AND(Data!U76&lt;=Rules!$B$16,Data!V76&gt;=Rules!$B$17),"PASS","FAIL"),IF(AND(Data!U76&lt;=Rules!$B$9,Data!V76&gt;=Rules!$B$10),"PASS","FAIL")))</f>
        <v>PASS</v>
      </c>
      <c r="J76" s="3" t="str">
        <f aca="false">IF(AND(ISNUMBER(Data!J76),ISNUMBER(Data!K76)),IF(AND(Data!J76&gt;=Rules!$B$11,Data!K76&gt;=Rules!$B$12),"PASS","FAIL"),"FAIL")</f>
        <v>FAIL</v>
      </c>
      <c r="K76" s="3" t="str">
        <f aca="false">IF(AND(ISNUMBER(Data!W76),ISNUMBER(Data!X76)),IF(AND(Data!W76&lt;=Rules!$B$13,Data!X76&lt;=Rules!$B$14),"PASS","FAIL"),"FAIL")</f>
        <v>PASS</v>
      </c>
      <c r="L76" s="4" t="str">
        <f aca="false">IF(F76="FAIL","רווחיות; ","")&amp;IF(G76="FAIL","תזרים; ","")&amp;IF(H76="FAIL","תשואה על ההון; ","")&amp;IF(I76="FAIL","מאזן; ","")&amp;IF(J76="FAIL","צמיחה; ","")&amp;IF(K76="FAIL","דילול; ","")</f>
        <v>צמיחה; </v>
      </c>
      <c r="M76" s="4" t="s">
        <v>26</v>
      </c>
      <c r="N76" s="5" t="n">
        <f aca="false">IF(M76="EXTREME",Rules!$B$23,IF(M76="HIGH",Rules!$B$22,Rules!$B$21))</f>
        <v>0.03</v>
      </c>
      <c r="O76" s="6" t="n">
        <v>44.3767807145416</v>
      </c>
      <c r="P76" s="4" t="s">
        <v>24</v>
      </c>
      <c r="Q76" s="4" t="s">
        <v>25</v>
      </c>
      <c r="R76" s="4" t="str">
        <f aca="false">IF(Q76="כן",P76,"לא רלוונטי (SMA200 יורד)")</f>
        <v>Q2</v>
      </c>
      <c r="S76" s="4" t="str">
        <f aca="false">IF(NOT(ISNUMBER(T76)),"n/a",IF(AND(T76&gt;Rules!$B$18,ISNUMBER(U76),U76&lt;Rules!$B$19),"יקרה",IF(T76&lt;Rules!$B$20,"זולה","הוגנת")))</f>
        <v>הוגנת</v>
      </c>
      <c r="T76" s="7" t="n">
        <f aca="false">Data!AA76</f>
        <v>1.16944882345195</v>
      </c>
      <c r="U76" s="8" t="n">
        <f aca="false">Data!AC76</f>
        <v>0.0562836879432624</v>
      </c>
      <c r="V76" s="9" t="n">
        <v>0.04</v>
      </c>
      <c r="W76" s="5" t="n">
        <v>-0.4564</v>
      </c>
    </row>
    <row r="77" customFormat="false" ht="15" hidden="false" customHeight="false" outlineLevel="0" collapsed="false">
      <c r="A77" s="2" t="str">
        <f aca="false">Data!A77</f>
        <v>RTX</v>
      </c>
      <c r="B77" s="2" t="str">
        <f aca="false">Data!B77</f>
        <v>RTX Corp.</v>
      </c>
      <c r="C77" s="2" t="str">
        <f aca="false">Data!F77</f>
        <v>STD</v>
      </c>
      <c r="D77" s="3" t="str">
        <f aca="false">IF(E77=0,"CORE",IF(E77=1,"WATCH","NON-CORE"))</f>
        <v>WATCH</v>
      </c>
      <c r="E77" s="4" t="n">
        <f aca="false">COUNTIF(F77:K77,"FAIL")</f>
        <v>1</v>
      </c>
      <c r="F77" s="3" t="str">
        <f aca="false">IF(C77="FIN",IF(Data!M77=Data!H77,"PASS","FAIL"),IF(AND(ISNUMBER(Data!L77),Data!L77&gt;=Rules!$B$5,IF(Data!H77&lt;5,Data!M77=Data!H77,Data!M77&gt;=Rules!$B$6)),"PASS","FAIL"))</f>
        <v>PASS</v>
      </c>
      <c r="G77" s="3" t="str">
        <f aca="false">IF(C77="FIN","n/a",IF(C77="UTIL/REIT",IF(Data!Q77=Data!H77,"PASS","FAIL"),IF(AND(ISNUMBER(Data!N77),Data!N77&gt;0,IF(Data!H77&lt;5,Data!P77=Data!H77,Data!P77&gt;=Rules!$B$7)),"PASS","FAIL")))</f>
        <v>PASS</v>
      </c>
      <c r="H77" s="3" t="str">
        <f aca="false">IF(C77="FIN",IF(AND(ISNUMBER(Data!S77),Data!S77&gt;=Rules!$B$15),"PASS","FAIL"),IF(AND(ISNUMBER(Data!R77),Data!R77&gt;=Rules!$B$8),"PASS","FAIL"))</f>
        <v>FAIL</v>
      </c>
      <c r="I77" s="3" t="str">
        <f aca="false">IF(C77="FIN","n/a",IF(C77="UTIL/REIT",IF(AND(Data!U77&lt;=Rules!$B$16,Data!V77&gt;=Rules!$B$17),"PASS","FAIL"),IF(AND(Data!U77&lt;=Rules!$B$9,Data!V77&gt;=Rules!$B$10),"PASS","FAIL")))</f>
        <v>PASS</v>
      </c>
      <c r="J77" s="3" t="str">
        <f aca="false">IF(AND(ISNUMBER(Data!J77),ISNUMBER(Data!K77)),IF(AND(Data!J77&gt;=Rules!$B$11,Data!K77&gt;=Rules!$B$12),"PASS","FAIL"),"FAIL")</f>
        <v>PASS</v>
      </c>
      <c r="K77" s="3" t="str">
        <f aca="false">IF(AND(ISNUMBER(Data!W77),ISNUMBER(Data!X77)),IF(AND(Data!W77&lt;=Rules!$B$13,Data!X77&lt;=Rules!$B$14),"PASS","FAIL"),"FAIL")</f>
        <v>PASS</v>
      </c>
      <c r="L77" s="4" t="str">
        <f aca="false">IF(F77="FAIL","רווחיות; ","")&amp;IF(G77="FAIL","תזרים; ","")&amp;IF(H77="FAIL","תשואה על ההון; ","")&amp;IF(I77="FAIL","מאזן; ","")&amp;IF(J77="FAIL","צמיחה; ","")&amp;IF(K77="FAIL","דילול; ","")</f>
        <v>תשואה על ההון; </v>
      </c>
      <c r="M77" s="4" t="s">
        <v>29</v>
      </c>
      <c r="N77" s="5" t="n">
        <f aca="false">IF(M77="EXTREME",Rules!$B$23,IF(M77="HIGH",Rules!$B$22,Rules!$B$21))</f>
        <v>0.1</v>
      </c>
      <c r="O77" s="6" t="n">
        <v>87.2852753458135</v>
      </c>
      <c r="P77" s="4" t="s">
        <v>30</v>
      </c>
      <c r="Q77" s="4" t="s">
        <v>25</v>
      </c>
      <c r="R77" s="4" t="str">
        <f aca="false">IF(Q77="כן",P77,"לא רלוונטי (SMA200 יורד)")</f>
        <v>Q4</v>
      </c>
      <c r="S77" s="4" t="str">
        <f aca="false">IF(NOT(ISNUMBER(T77)),"n/a",IF(AND(T77&gt;Rules!$B$18,ISNUMBER(U77),U77&lt;Rules!$B$19),"יקרה",IF(T77&lt;Rules!$B$20,"זולה","הוגנת")))</f>
        <v>הוגנת</v>
      </c>
      <c r="T77" s="7" t="n">
        <f aca="false">Data!AA77</f>
        <v>0.956495266194465</v>
      </c>
      <c r="U77" s="8" t="n">
        <f aca="false">Data!AC77</f>
        <v>0.0461727377852416</v>
      </c>
      <c r="V77" s="9" t="n">
        <v>0.0206</v>
      </c>
      <c r="W77" s="5" t="n">
        <v>-0.3388</v>
      </c>
    </row>
    <row r="78" customFormat="false" ht="15" hidden="false" customHeight="false" outlineLevel="0" collapsed="false">
      <c r="A78" s="2" t="str">
        <f aca="false">Data!A78</f>
        <v>TXN</v>
      </c>
      <c r="B78" s="2" t="str">
        <f aca="false">Data!B78</f>
        <v>Texas Instruments Inc.</v>
      </c>
      <c r="C78" s="2" t="str">
        <f aca="false">Data!F78</f>
        <v>STD</v>
      </c>
      <c r="D78" s="3" t="str">
        <f aca="false">IF(E78=0,"CORE",IF(E78=1,"WATCH","NON-CORE"))</f>
        <v>WATCH</v>
      </c>
      <c r="E78" s="4" t="n">
        <f aca="false">COUNTIF(F78:K78,"FAIL")</f>
        <v>1</v>
      </c>
      <c r="F78" s="3" t="str">
        <f aca="false">IF(C78="FIN",IF(Data!M78=Data!H78,"PASS","FAIL"),IF(AND(ISNUMBER(Data!L78),Data!L78&gt;=Rules!$B$5,IF(Data!H78&lt;5,Data!M78=Data!H78,Data!M78&gt;=Rules!$B$6)),"PASS","FAIL"))</f>
        <v>PASS</v>
      </c>
      <c r="G78" s="3" t="str">
        <f aca="false">IF(C78="FIN","n/a",IF(C78="UTIL/REIT",IF(Data!Q78=Data!H78,"PASS","FAIL"),IF(AND(ISNUMBER(Data!N78),Data!N78&gt;0,IF(Data!H78&lt;5,Data!P78=Data!H78,Data!P78&gt;=Rules!$B$7)),"PASS","FAIL")))</f>
        <v>PASS</v>
      </c>
      <c r="H78" s="3" t="str">
        <f aca="false">IF(C78="FIN",IF(AND(ISNUMBER(Data!S78),Data!S78&gt;=Rules!$B$15),"PASS","FAIL"),IF(AND(ISNUMBER(Data!R78),Data!R78&gt;=Rules!$B$8),"PASS","FAIL"))</f>
        <v>PASS</v>
      </c>
      <c r="I78" s="3" t="str">
        <f aca="false">IF(C78="FIN","n/a",IF(C78="UTIL/REIT",IF(AND(Data!U78&lt;=Rules!$B$16,Data!V78&gt;=Rules!$B$17),"PASS","FAIL"),IF(AND(Data!U78&lt;=Rules!$B$9,Data!V78&gt;=Rules!$B$10),"PASS","FAIL")))</f>
        <v>PASS</v>
      </c>
      <c r="J78" s="3" t="str">
        <f aca="false">IF(AND(ISNUMBER(Data!J78),ISNUMBER(Data!K78)),IF(AND(Data!J78&gt;=Rules!$B$11,Data!K78&gt;=Rules!$B$12),"PASS","FAIL"),"FAIL")</f>
        <v>FAIL</v>
      </c>
      <c r="K78" s="3" t="str">
        <f aca="false">IF(AND(ISNUMBER(Data!W78),ISNUMBER(Data!X78)),IF(AND(Data!W78&lt;=Rules!$B$13,Data!X78&lt;=Rules!$B$14),"PASS","FAIL"),"FAIL")</f>
        <v>PASS</v>
      </c>
      <c r="L78" s="4" t="str">
        <f aca="false">IF(F78="FAIL","רווחיות; ","")&amp;IF(G78="FAIL","תזרים; ","")&amp;IF(H78="FAIL","תשואה על ההון; ","")&amp;IF(I78="FAIL","מאזן; ","")&amp;IF(J78="FAIL","צמיחה; ","")&amp;IF(K78="FAIL","דילול; ","")</f>
        <v>צמיחה; </v>
      </c>
      <c r="M78" s="4" t="s">
        <v>23</v>
      </c>
      <c r="N78" s="5" t="n">
        <f aca="false">IF(M78="EXTREME",Rules!$B$23,IF(M78="HIGH",Rules!$B$22,Rules!$B$21))</f>
        <v>0.06</v>
      </c>
      <c r="O78" s="6" t="n">
        <v>45.6090873073795</v>
      </c>
      <c r="P78" s="4" t="s">
        <v>24</v>
      </c>
      <c r="Q78" s="4" t="s">
        <v>25</v>
      </c>
      <c r="R78" s="4" t="str">
        <f aca="false">IF(Q78="כן",P78,"לא רלוונטי (SMA200 יורד)")</f>
        <v>Q2</v>
      </c>
      <c r="S78" s="4" t="str">
        <f aca="false">IF(NOT(ISNUMBER(T78)),"n/a",IF(AND(T78&gt;Rules!$B$18,ISNUMBER(U78),U78&lt;Rules!$B$19),"יקרה",IF(T78&lt;Rules!$B$20,"זולה","הוגנת")))</f>
        <v>הוגנת</v>
      </c>
      <c r="T78" s="7" t="n">
        <f aca="false">Data!AA78</f>
        <v>1.78284709009332</v>
      </c>
      <c r="U78" s="8" t="n">
        <f aca="false">Data!AC78</f>
        <v>0.0208124105569211</v>
      </c>
      <c r="V78" s="9" t="n">
        <v>0.0307</v>
      </c>
      <c r="W78" s="5" t="n">
        <v>-0.3393</v>
      </c>
    </row>
    <row r="79" customFormat="false" ht="15" hidden="false" customHeight="false" outlineLevel="0" collapsed="false">
      <c r="A79" s="2" t="str">
        <f aca="false">Data!A79</f>
        <v>UNP</v>
      </c>
      <c r="B79" s="2" t="str">
        <f aca="false">Data!B79</f>
        <v>Union Pacific Corp.</v>
      </c>
      <c r="C79" s="2" t="str">
        <f aca="false">Data!F79</f>
        <v>STD</v>
      </c>
      <c r="D79" s="3" t="str">
        <f aca="false">IF(E79=0,"CORE",IF(E79=1,"WATCH","NON-CORE"))</f>
        <v>WATCH</v>
      </c>
      <c r="E79" s="4" t="n">
        <f aca="false">COUNTIF(F79:K79,"FAIL")</f>
        <v>1</v>
      </c>
      <c r="F79" s="3" t="str">
        <f aca="false">IF(C79="FIN",IF(Data!M79=Data!H79,"PASS","FAIL"),IF(AND(ISNUMBER(Data!L79),Data!L79&gt;=Rules!$B$5,IF(Data!H79&lt;5,Data!M79=Data!H79,Data!M79&gt;=Rules!$B$6)),"PASS","FAIL"))</f>
        <v>PASS</v>
      </c>
      <c r="G79" s="3" t="str">
        <f aca="false">IF(C79="FIN","n/a",IF(C79="UTIL/REIT",IF(Data!Q79=Data!H79,"PASS","FAIL"),IF(AND(ISNUMBER(Data!N79),Data!N79&gt;0,IF(Data!H79&lt;5,Data!P79=Data!H79,Data!P79&gt;=Rules!$B$7)),"PASS","FAIL")))</f>
        <v>PASS</v>
      </c>
      <c r="H79" s="3" t="str">
        <f aca="false">IF(C79="FIN",IF(AND(ISNUMBER(Data!S79),Data!S79&gt;=Rules!$B$15),"PASS","FAIL"),IF(AND(ISNUMBER(Data!R79),Data!R79&gt;=Rules!$B$8),"PASS","FAIL"))</f>
        <v>PASS</v>
      </c>
      <c r="I79" s="3" t="str">
        <f aca="false">IF(C79="FIN","n/a",IF(C79="UTIL/REIT",IF(AND(Data!U79&lt;=Rules!$B$16,Data!V79&gt;=Rules!$B$17),"PASS","FAIL"),IF(AND(Data!U79&lt;=Rules!$B$9,Data!V79&gt;=Rules!$B$10),"PASS","FAIL")))</f>
        <v>PASS</v>
      </c>
      <c r="J79" s="3" t="str">
        <f aca="false">IF(AND(ISNUMBER(Data!J79),ISNUMBER(Data!K79)),IF(AND(Data!J79&gt;=Rules!$B$11,Data!K79&gt;=Rules!$B$12),"PASS","FAIL"),"FAIL")</f>
        <v>FAIL</v>
      </c>
      <c r="K79" s="3" t="str">
        <f aca="false">IF(AND(ISNUMBER(Data!W79),ISNUMBER(Data!X79)),IF(AND(Data!W79&lt;=Rules!$B$13,Data!X79&lt;=Rules!$B$14),"PASS","FAIL"),"FAIL")</f>
        <v>PASS</v>
      </c>
      <c r="L79" s="4" t="str">
        <f aca="false">IF(F79="FAIL","רווחיות; ","")&amp;IF(G79="FAIL","תזרים; ","")&amp;IF(H79="FAIL","תשואה על ההון; ","")&amp;IF(I79="FAIL","מאזן; ","")&amp;IF(J79="FAIL","צמיחה; ","")&amp;IF(K79="FAIL","דילול; ","")</f>
        <v>צמיחה; </v>
      </c>
      <c r="M79" s="4" t="s">
        <v>29</v>
      </c>
      <c r="N79" s="5" t="n">
        <f aca="false">IF(M79="EXTREME",Rules!$B$23,IF(M79="HIGH",Rules!$B$22,Rules!$B$21))</f>
        <v>0.1</v>
      </c>
      <c r="O79" s="6" t="n">
        <v>53.0186606562318</v>
      </c>
      <c r="P79" s="4" t="s">
        <v>27</v>
      </c>
      <c r="Q79" s="4" t="s">
        <v>25</v>
      </c>
      <c r="R79" s="4" t="str">
        <f aca="false">IF(Q79="כן",P79,"לא רלוונטי (SMA200 יורד)")</f>
        <v>Q3</v>
      </c>
      <c r="S79" s="4" t="str">
        <f aca="false">IF(NOT(ISNUMBER(T79)),"n/a",IF(AND(T79&gt;Rules!$B$18,ISNUMBER(U79),U79&lt;Rules!$B$19),"יקרה",IF(T79&lt;Rules!$B$20,"זולה","הוגנת")))</f>
        <v>הוגנת</v>
      </c>
      <c r="T79" s="7" t="n">
        <f aca="false">Data!AA79</f>
        <v>1.10846347000916</v>
      </c>
      <c r="U79" s="8" t="n">
        <f aca="false">Data!AC79</f>
        <v>0.0389501331808711</v>
      </c>
      <c r="V79" s="9" t="n">
        <v>0.0188</v>
      </c>
      <c r="W79" s="5" t="n">
        <v>-0.329</v>
      </c>
    </row>
    <row r="80" customFormat="false" ht="15" hidden="false" customHeight="false" outlineLevel="0" collapsed="false">
      <c r="A80" s="2" t="str">
        <f aca="false">Data!A80</f>
        <v>WM</v>
      </c>
      <c r="B80" s="2" t="str">
        <f aca="false">Data!B80</f>
        <v>Waste Management Inc.</v>
      </c>
      <c r="C80" s="2" t="str">
        <f aca="false">Data!F80</f>
        <v>STD</v>
      </c>
      <c r="D80" s="3" t="str">
        <f aca="false">IF(E80=0,"CORE",IF(E80=1,"WATCH","NON-CORE"))</f>
        <v>WATCH</v>
      </c>
      <c r="E80" s="4" t="n">
        <f aca="false">COUNTIF(F80:K80,"FAIL")</f>
        <v>1</v>
      </c>
      <c r="F80" s="3" t="str">
        <f aca="false">IF(C80="FIN",IF(Data!M80=Data!H80,"PASS","FAIL"),IF(AND(ISNUMBER(Data!L80),Data!L80&gt;=Rules!$B$5,IF(Data!H80&lt;5,Data!M80=Data!H80,Data!M80&gt;=Rules!$B$6)),"PASS","FAIL"))</f>
        <v>PASS</v>
      </c>
      <c r="G80" s="3" t="str">
        <f aca="false">IF(C80="FIN","n/a",IF(C80="UTIL/REIT",IF(Data!Q80=Data!H80,"PASS","FAIL"),IF(AND(ISNUMBER(Data!N80),Data!N80&gt;0,IF(Data!H80&lt;5,Data!P80=Data!H80,Data!P80&gt;=Rules!$B$7)),"PASS","FAIL")))</f>
        <v>PASS</v>
      </c>
      <c r="H80" s="3" t="str">
        <f aca="false">IF(C80="FIN",IF(AND(ISNUMBER(Data!S80),Data!S80&gt;=Rules!$B$15),"PASS","FAIL"),IF(AND(ISNUMBER(Data!R80),Data!R80&gt;=Rules!$B$8),"PASS","FAIL"))</f>
        <v>PASS</v>
      </c>
      <c r="I80" s="3" t="str">
        <f aca="false">IF(C80="FIN","n/a",IF(C80="UTIL/REIT",IF(AND(Data!U80&lt;=Rules!$B$16,Data!V80&gt;=Rules!$B$17),"PASS","FAIL"),IF(AND(Data!U80&lt;=Rules!$B$9,Data!V80&gt;=Rules!$B$10),"PASS","FAIL")))</f>
        <v>FAIL</v>
      </c>
      <c r="J80" s="3" t="str">
        <f aca="false">IF(AND(ISNUMBER(Data!J80),ISNUMBER(Data!K80)),IF(AND(Data!J80&gt;=Rules!$B$11,Data!K80&gt;=Rules!$B$12),"PASS","FAIL"),"FAIL")</f>
        <v>PASS</v>
      </c>
      <c r="K80" s="3" t="str">
        <f aca="false">IF(AND(ISNUMBER(Data!W80),ISNUMBER(Data!X80)),IF(AND(Data!W80&lt;=Rules!$B$13,Data!X80&lt;=Rules!$B$14),"PASS","FAIL"),"FAIL")</f>
        <v>PASS</v>
      </c>
      <c r="L80" s="4" t="str">
        <f aca="false">IF(F80="FAIL","רווחיות; ","")&amp;IF(G80="FAIL","תזרים; ","")&amp;IF(H80="FAIL","תשואה על ההון; ","")&amp;IF(I80="FAIL","מאזן; ","")&amp;IF(J80="FAIL","צמיחה; ","")&amp;IF(K80="FAIL","דילול; ","")</f>
        <v>מאזן; </v>
      </c>
      <c r="M80" s="4" t="s">
        <v>29</v>
      </c>
      <c r="N80" s="5" t="n">
        <f aca="false">IF(M80="EXTREME",Rules!$B$23,IF(M80="HIGH",Rules!$B$22,Rules!$B$21))</f>
        <v>0.1</v>
      </c>
      <c r="O80" s="6" t="n">
        <v>99.2309398381505</v>
      </c>
      <c r="P80" s="4" t="s">
        <v>30</v>
      </c>
      <c r="Q80" s="4" t="s">
        <v>28</v>
      </c>
      <c r="R80" s="4" t="str">
        <f aca="false">IF(Q80="כן",P80,"לא רלוונטי (SMA200 יורד)")</f>
        <v>לא רלוונטי (SMA200 יורד)</v>
      </c>
      <c r="S80" s="4" t="str">
        <f aca="false">IF(NOT(ISNUMBER(T80)),"n/a",IF(AND(T80&gt;Rules!$B$18,ISNUMBER(U80),U80&lt;Rules!$B$19),"יקרה",IF(T80&lt;Rules!$B$20,"זולה","הוגנת")))</f>
        <v>הוגנת</v>
      </c>
      <c r="T80" s="7" t="n">
        <f aca="false">Data!AA80</f>
        <v>0.942853127099217</v>
      </c>
      <c r="U80" s="8" t="n">
        <f aca="false">Data!AC80</f>
        <v>0.0423101473435849</v>
      </c>
      <c r="V80" s="9" t="n">
        <v>0.0168</v>
      </c>
      <c r="W80" s="5" t="n">
        <v>-0.187</v>
      </c>
    </row>
    <row r="81" customFormat="false" ht="15" hidden="false" customHeight="false" outlineLevel="0" collapsed="false">
      <c r="A81" s="2" t="str">
        <f aca="false">Data!A81</f>
        <v>WMT</v>
      </c>
      <c r="B81" s="2" t="str">
        <f aca="false">Data!B81</f>
        <v>Walmart Inc.</v>
      </c>
      <c r="C81" s="2" t="str">
        <f aca="false">Data!F81</f>
        <v>STD</v>
      </c>
      <c r="D81" s="3" t="str">
        <f aca="false">IF(E81=0,"CORE",IF(E81=1,"WATCH","NON-CORE"))</f>
        <v>WATCH</v>
      </c>
      <c r="E81" s="4" t="n">
        <f aca="false">COUNTIF(F81:K81,"FAIL")</f>
        <v>1</v>
      </c>
      <c r="F81" s="3" t="str">
        <f aca="false">IF(C81="FIN",IF(Data!M81=Data!H81,"PASS","FAIL"),IF(AND(ISNUMBER(Data!L81),Data!L81&gt;=Rules!$B$5,IF(Data!H81&lt;5,Data!M81=Data!H81,Data!M81&gt;=Rules!$B$6)),"PASS","FAIL"))</f>
        <v>FAIL</v>
      </c>
      <c r="G81" s="3" t="str">
        <f aca="false">IF(C81="FIN","n/a",IF(C81="UTIL/REIT",IF(Data!Q81=Data!H81,"PASS","FAIL"),IF(AND(ISNUMBER(Data!N81),Data!N81&gt;0,IF(Data!H81&lt;5,Data!P81=Data!H81,Data!P81&gt;=Rules!$B$7)),"PASS","FAIL")))</f>
        <v>PASS</v>
      </c>
      <c r="H81" s="3" t="str">
        <f aca="false">IF(C81="FIN",IF(AND(ISNUMBER(Data!S81),Data!S81&gt;=Rules!$B$15),"PASS","FAIL"),IF(AND(ISNUMBER(Data!R81),Data!R81&gt;=Rules!$B$8),"PASS","FAIL"))</f>
        <v>PASS</v>
      </c>
      <c r="I81" s="3" t="str">
        <f aca="false">IF(C81="FIN","n/a",IF(C81="UTIL/REIT",IF(AND(Data!U81&lt;=Rules!$B$16,Data!V81&gt;=Rules!$B$17),"PASS","FAIL"),IF(AND(Data!U81&lt;=Rules!$B$9,Data!V81&gt;=Rules!$B$10),"PASS","FAIL")))</f>
        <v>PASS</v>
      </c>
      <c r="J81" s="3" t="str">
        <f aca="false">IF(AND(ISNUMBER(Data!J81),ISNUMBER(Data!K81)),IF(AND(Data!J81&gt;=Rules!$B$11,Data!K81&gt;=Rules!$B$12),"PASS","FAIL"),"FAIL")</f>
        <v>PASS</v>
      </c>
      <c r="K81" s="3" t="str">
        <f aca="false">IF(AND(ISNUMBER(Data!W81),ISNUMBER(Data!X81)),IF(AND(Data!W81&lt;=Rules!$B$13,Data!X81&lt;=Rules!$B$14),"PASS","FAIL"),"FAIL")</f>
        <v>PASS</v>
      </c>
      <c r="L81" s="4" t="str">
        <f aca="false">IF(F81="FAIL","רווחיות; ","")&amp;IF(G81="FAIL","תזרים; ","")&amp;IF(H81="FAIL","תשואה על ההון; ","")&amp;IF(I81="FAIL","מאזן; ","")&amp;IF(J81="FAIL","צמיחה; ","")&amp;IF(K81="FAIL","דילול; ","")</f>
        <v>רווחיות; </v>
      </c>
      <c r="M81" s="4" t="s">
        <v>29</v>
      </c>
      <c r="N81" s="5" t="n">
        <f aca="false">IF(M81="EXTREME",Rules!$B$23,IF(M81="HIGH",Rules!$B$22,Rules!$B$21))</f>
        <v>0.1</v>
      </c>
      <c r="O81" s="6" t="n">
        <v>99.5630081493459</v>
      </c>
      <c r="P81" s="4" t="s">
        <v>30</v>
      </c>
      <c r="Q81" s="4" t="s">
        <v>28</v>
      </c>
      <c r="R81" s="4" t="str">
        <f aca="false">IF(Q81="כן",P81,"לא רלוונטי (SMA200 יורד)")</f>
        <v>לא רלוונטי (SMA200 יורד)</v>
      </c>
      <c r="S81" s="4" t="str">
        <f aca="false">IF(NOT(ISNUMBER(T81)),"n/a",IF(AND(T81&gt;Rules!$B$18,ISNUMBER(U81),U81&lt;Rules!$B$19),"יקרה",IF(T81&lt;Rules!$B$20,"זולה","הוגנת")))</f>
        <v>הוגנת</v>
      </c>
      <c r="T81" s="7" t="n">
        <f aca="false">Data!AA81</f>
        <v>1.21720266286888</v>
      </c>
      <c r="U81" s="8" t="n">
        <f aca="false">Data!AC81</f>
        <v>0.0148931391895533</v>
      </c>
      <c r="V81" s="9" t="n">
        <v>0.0195</v>
      </c>
      <c r="W81" s="5" t="n">
        <v>-0.2603</v>
      </c>
    </row>
    <row r="82" customFormat="false" ht="15" hidden="false" customHeight="false" outlineLevel="0" collapsed="false">
      <c r="A82" s="2" t="str">
        <f aca="false">Data!A82</f>
        <v>ABBV</v>
      </c>
      <c r="B82" s="2" t="str">
        <f aca="false">Data!B82</f>
        <v>AbbVie Inc.</v>
      </c>
      <c r="C82" s="2" t="str">
        <f aca="false">Data!F82</f>
        <v>STD</v>
      </c>
      <c r="D82" s="3" t="str">
        <f aca="false">IF(E82=0,"CORE",IF(E82=1,"WATCH","NON-CORE"))</f>
        <v>NON-CORE</v>
      </c>
      <c r="E82" s="4" t="n">
        <f aca="false">COUNTIF(F82:K82,"FAIL")</f>
        <v>2</v>
      </c>
      <c r="F82" s="3" t="str">
        <f aca="false">IF(C82="FIN",IF(Data!M82=Data!H82,"PASS","FAIL"),IF(AND(ISNUMBER(Data!L82),Data!L82&gt;=Rules!$B$5,IF(Data!H82&lt;5,Data!M82=Data!H82,Data!M82&gt;=Rules!$B$6)),"PASS","FAIL"))</f>
        <v>PASS</v>
      </c>
      <c r="G82" s="3" t="str">
        <f aca="false">IF(C82="FIN","n/a",IF(C82="UTIL/REIT",IF(Data!Q82=Data!H82,"PASS","FAIL"),IF(AND(ISNUMBER(Data!N82),Data!N82&gt;0,IF(Data!H82&lt;5,Data!P82=Data!H82,Data!P82&gt;=Rules!$B$7)),"PASS","FAIL")))</f>
        <v>PASS</v>
      </c>
      <c r="H82" s="3" t="str">
        <f aca="false">IF(C82="FIN",IF(AND(ISNUMBER(Data!S82),Data!S82&gt;=Rules!$B$15),"PASS","FAIL"),IF(AND(ISNUMBER(Data!R82),Data!R82&gt;=Rules!$B$8),"PASS","FAIL"))</f>
        <v>PASS</v>
      </c>
      <c r="I82" s="3" t="str">
        <f aca="false">IF(C82="FIN","n/a",IF(C82="UTIL/REIT",IF(AND(Data!U82&lt;=Rules!$B$16,Data!V82&gt;=Rules!$B$17),"PASS","FAIL"),IF(AND(Data!U82&lt;=Rules!$B$9,Data!V82&gt;=Rules!$B$10),"PASS","FAIL")))</f>
        <v>FAIL</v>
      </c>
      <c r="J82" s="3" t="str">
        <f aca="false">IF(AND(ISNUMBER(Data!J82),ISNUMBER(Data!K82)),IF(AND(Data!J82&gt;=Rules!$B$11,Data!K82&gt;=Rules!$B$12),"PASS","FAIL"),"FAIL")</f>
        <v>FAIL</v>
      </c>
      <c r="K82" s="3" t="str">
        <f aca="false">IF(AND(ISNUMBER(Data!W82),ISNUMBER(Data!X82)),IF(AND(Data!W82&lt;=Rules!$B$13,Data!X82&lt;=Rules!$B$14),"PASS","FAIL"),"FAIL")</f>
        <v>PASS</v>
      </c>
      <c r="L82" s="4" t="str">
        <f aca="false">IF(F82="FAIL","רווחיות; ","")&amp;IF(G82="FAIL","תזרים; ","")&amp;IF(H82="FAIL","תשואה על ההון; ","")&amp;IF(I82="FAIL","מאזן; ","")&amp;IF(J82="FAIL","צמיחה; ","")&amp;IF(K82="FAIL","דילול; ","")</f>
        <v>מאזן; צמיחה; </v>
      </c>
      <c r="M82" s="4" t="s">
        <v>29</v>
      </c>
      <c r="N82" s="5" t="n">
        <f aca="false">IF(M82="EXTREME",Rules!$B$23,IF(M82="HIGH",Rules!$B$22,Rules!$B$21))</f>
        <v>0.1</v>
      </c>
      <c r="O82" s="6" t="n">
        <v>16.183768792877</v>
      </c>
      <c r="P82" s="4" t="s">
        <v>32</v>
      </c>
      <c r="Q82" s="4" t="s">
        <v>25</v>
      </c>
      <c r="R82" s="4" t="str">
        <f aca="false">IF(Q82="כן",P82,"לא רלוונטי (SMA200 יורד)")</f>
        <v>Q1</v>
      </c>
      <c r="S82" s="4" t="str">
        <f aca="false">IF(NOT(ISNUMBER(T82)),"n/a",IF(AND(T82&gt;Rules!$B$18,ISNUMBER(U82),U82&lt;Rules!$B$19),"יקרה",IF(T82&lt;Rules!$B$20,"זולה","הוגנת")))</f>
        <v>הוגנת</v>
      </c>
      <c r="T82" s="7" t="n">
        <f aca="false">Data!AA82</f>
        <v>1.37580445267101</v>
      </c>
      <c r="U82" s="8" t="n">
        <f aca="false">Data!AC82</f>
        <v>0.0369459482377299</v>
      </c>
      <c r="V82" s="9" t="n">
        <v>0.0208</v>
      </c>
      <c r="W82" s="5" t="n">
        <v>-0.2432</v>
      </c>
    </row>
    <row r="83" customFormat="false" ht="15" hidden="false" customHeight="false" outlineLevel="0" collapsed="false">
      <c r="A83" s="2" t="str">
        <f aca="false">Data!A83</f>
        <v>ADI</v>
      </c>
      <c r="B83" s="2" t="str">
        <f aca="false">Data!B83</f>
        <v>Analog Devices Inc.</v>
      </c>
      <c r="C83" s="2" t="str">
        <f aca="false">Data!F83</f>
        <v>STD</v>
      </c>
      <c r="D83" s="3" t="str">
        <f aca="false">IF(E83=0,"CORE",IF(E83=1,"WATCH","NON-CORE"))</f>
        <v>NON-CORE</v>
      </c>
      <c r="E83" s="4" t="n">
        <f aca="false">COUNTIF(F83:K83,"FAIL")</f>
        <v>2</v>
      </c>
      <c r="F83" s="3" t="str">
        <f aca="false">IF(C83="FIN",IF(Data!M83=Data!H83,"PASS","FAIL"),IF(AND(ISNUMBER(Data!L83),Data!L83&gt;=Rules!$B$5,IF(Data!H83&lt;5,Data!M83=Data!H83,Data!M83&gt;=Rules!$B$6)),"PASS","FAIL"))</f>
        <v>PASS</v>
      </c>
      <c r="G83" s="3" t="str">
        <f aca="false">IF(C83="FIN","n/a",IF(C83="UTIL/REIT",IF(Data!Q83=Data!H83,"PASS","FAIL"),IF(AND(ISNUMBER(Data!N83),Data!N83&gt;0,IF(Data!H83&lt;5,Data!P83=Data!H83,Data!P83&gt;=Rules!$B$7)),"PASS","FAIL")))</f>
        <v>PASS</v>
      </c>
      <c r="H83" s="3" t="str">
        <f aca="false">IF(C83="FIN",IF(AND(ISNUMBER(Data!S83),Data!S83&gt;=Rules!$B$15),"PASS","FAIL"),IF(AND(ISNUMBER(Data!R83),Data!R83&gt;=Rules!$B$8),"PASS","FAIL"))</f>
        <v>FAIL</v>
      </c>
      <c r="I83" s="3" t="str">
        <f aca="false">IF(C83="FIN","n/a",IF(C83="UTIL/REIT",IF(AND(Data!U83&lt;=Rules!$B$16,Data!V83&gt;=Rules!$B$17),"PASS","FAIL"),IF(AND(Data!U83&lt;=Rules!$B$9,Data!V83&gt;=Rules!$B$10),"PASS","FAIL")))</f>
        <v>PASS</v>
      </c>
      <c r="J83" s="3" t="str">
        <f aca="false">IF(AND(ISNUMBER(Data!J83),ISNUMBER(Data!K83)),IF(AND(Data!J83&gt;=Rules!$B$11,Data!K83&gt;=Rules!$B$12),"PASS","FAIL"),"FAIL")</f>
        <v>FAIL</v>
      </c>
      <c r="K83" s="3" t="str">
        <f aca="false">IF(AND(ISNUMBER(Data!W83),ISNUMBER(Data!X83)),IF(AND(Data!W83&lt;=Rules!$B$13,Data!X83&lt;=Rules!$B$14),"PASS","FAIL"),"FAIL")</f>
        <v>PASS</v>
      </c>
      <c r="L83" s="4" t="str">
        <f aca="false">IF(F83="FAIL","רווחיות; ","")&amp;IF(G83="FAIL","תזרים; ","")&amp;IF(H83="FAIL","תשואה על ההון; ","")&amp;IF(I83="FAIL","מאזן; ","")&amp;IF(J83="FAIL","צמיחה; ","")&amp;IF(K83="FAIL","דילול; ","")</f>
        <v>תשואה על ההון; צמיחה; </v>
      </c>
      <c r="M83" s="4" t="s">
        <v>23</v>
      </c>
      <c r="N83" s="5" t="n">
        <f aca="false">IF(M83="EXTREME",Rules!$B$23,IF(M83="HIGH",Rules!$B$22,Rules!$B$21))</f>
        <v>0.06</v>
      </c>
      <c r="O83" s="6" t="n">
        <v>53.5661681771739</v>
      </c>
      <c r="P83" s="4" t="s">
        <v>27</v>
      </c>
      <c r="Q83" s="4" t="s">
        <v>25</v>
      </c>
      <c r="R83" s="4" t="str">
        <f aca="false">IF(Q83="כן",P83,"לא רלוונטי (SMA200 יורד)")</f>
        <v>Q3</v>
      </c>
      <c r="S83" s="4" t="str">
        <f aca="false">IF(NOT(ISNUMBER(T83)),"n/a",IF(AND(T83&gt;Rules!$B$18,ISNUMBER(U83),U83&lt;Rules!$B$19),"יקרה",IF(T83&lt;Rules!$B$20,"זולה","הוגנת")))</f>
        <v>הוגנת</v>
      </c>
      <c r="T83" s="7" t="n">
        <f aca="false">Data!AA83</f>
        <v>0.969213006298979</v>
      </c>
      <c r="U83" s="8" t="n">
        <f aca="false">Data!AC83</f>
        <v>0.0249109953100362</v>
      </c>
      <c r="V83" s="9" t="n">
        <v>0.0278</v>
      </c>
      <c r="W83" s="5" t="n">
        <v>-0.3252</v>
      </c>
    </row>
    <row r="84" customFormat="false" ht="15" hidden="false" customHeight="false" outlineLevel="0" collapsed="false">
      <c r="A84" s="2" t="str">
        <f aca="false">Data!A84</f>
        <v>ALAB</v>
      </c>
      <c r="B84" s="2" t="str">
        <f aca="false">Data!B84</f>
        <v>Astera Labs Inc.</v>
      </c>
      <c r="C84" s="2" t="str">
        <f aca="false">Data!F84</f>
        <v>STD</v>
      </c>
      <c r="D84" s="3" t="str">
        <f aca="false">IF(E84=0,"CORE",IF(E84=1,"WATCH","NON-CORE"))</f>
        <v>NON-CORE</v>
      </c>
      <c r="E84" s="4" t="n">
        <f aca="false">COUNTIF(F84:K84,"FAIL")</f>
        <v>3</v>
      </c>
      <c r="F84" s="3" t="str">
        <f aca="false">IF(C84="FIN",IF(Data!M84=Data!H84,"PASS","FAIL"),IF(AND(ISNUMBER(Data!L84),Data!L84&gt;=Rules!$B$5,IF(Data!H84&lt;5,Data!M84=Data!H84,Data!M84&gt;=Rules!$B$6)),"PASS","FAIL"))</f>
        <v>FAIL</v>
      </c>
      <c r="G84" s="3" t="str">
        <f aca="false">IF(C84="FIN","n/a",IF(C84="UTIL/REIT",IF(Data!Q84=Data!H84,"PASS","FAIL"),IF(AND(ISNUMBER(Data!N84),Data!N84&gt;0,IF(Data!H84&lt;5,Data!P84=Data!H84,Data!P84&gt;=Rules!$B$7)),"PASS","FAIL")))</f>
        <v>FAIL</v>
      </c>
      <c r="H84" s="3" t="str">
        <f aca="false">IF(C84="FIN",IF(AND(ISNUMBER(Data!S84),Data!S84&gt;=Rules!$B$15),"PASS","FAIL"),IF(AND(ISNUMBER(Data!R84),Data!R84&gt;=Rules!$B$8),"PASS","FAIL"))</f>
        <v>PASS</v>
      </c>
      <c r="I84" s="3" t="str">
        <f aca="false">IF(C84="FIN","n/a",IF(C84="UTIL/REIT",IF(AND(Data!U84&lt;=Rules!$B$16,Data!V84&gt;=Rules!$B$17),"PASS","FAIL"),IF(AND(Data!U84&lt;=Rules!$B$9,Data!V84&gt;=Rules!$B$10),"PASS","FAIL")))</f>
        <v>PASS</v>
      </c>
      <c r="J84" s="3" t="str">
        <f aca="false">IF(AND(ISNUMBER(Data!J84),ISNUMBER(Data!K84)),IF(AND(Data!J84&gt;=Rules!$B$11,Data!K84&gt;=Rules!$B$12),"PASS","FAIL"),"FAIL")</f>
        <v>PASS</v>
      </c>
      <c r="K84" s="3" t="str">
        <f aca="false">IF(AND(ISNUMBER(Data!W84),ISNUMBER(Data!X84)),IF(AND(Data!W84&lt;=Rules!$B$13,Data!X84&lt;=Rules!$B$14),"PASS","FAIL"),"FAIL")</f>
        <v>FAIL</v>
      </c>
      <c r="L84" s="4" t="str">
        <f aca="false">IF(F84="FAIL","רווחיות; ","")&amp;IF(G84="FAIL","תזרים; ","")&amp;IF(H84="FAIL","תשואה על ההון; ","")&amp;IF(I84="FAIL","מאזן; ","")&amp;IF(J84="FAIL","צמיחה; ","")&amp;IF(K84="FAIL","דילול; ","")</f>
        <v>רווחיות; תזרים; דילול; </v>
      </c>
      <c r="M84" s="4" t="s">
        <v>26</v>
      </c>
      <c r="N84" s="5" t="n">
        <f aca="false">IF(M84="EXTREME",Rules!$B$23,IF(M84="HIGH",Rules!$B$22,Rules!$B$21))</f>
        <v>0.03</v>
      </c>
      <c r="O84" s="6" t="n">
        <v>30.9749052175483</v>
      </c>
      <c r="P84" s="4" t="s">
        <v>24</v>
      </c>
      <c r="Q84" s="4" t="s">
        <v>25</v>
      </c>
      <c r="R84" s="4" t="str">
        <f aca="false">IF(Q84="כן",P84,"לא רלוונטי (SMA200 יורד)")</f>
        <v>Q2</v>
      </c>
      <c r="S84" s="4" t="str">
        <f aca="false">IF(NOT(ISNUMBER(T84)),"n/a",IF(AND(T84&gt;Rules!$B$18,ISNUMBER(U84),U84&lt;Rules!$B$19),"יקרה",IF(T84&lt;Rules!$B$20,"זולה","הוגנת")))</f>
        <v>הוגנת</v>
      </c>
      <c r="T84" s="7" t="n">
        <f aca="false">Data!AA84</f>
        <v>1.18510741792548</v>
      </c>
      <c r="U84" s="8" t="n">
        <f aca="false">Data!AC84</f>
        <v>0.00498021537199787</v>
      </c>
      <c r="V84" s="9" t="n">
        <v>0.0721</v>
      </c>
      <c r="W84" s="5" t="n">
        <v>-0.6379</v>
      </c>
    </row>
    <row r="85" customFormat="false" ht="15" hidden="false" customHeight="false" outlineLevel="0" collapsed="false">
      <c r="A85" s="2" t="str">
        <f aca="false">Data!A85</f>
        <v>AMT</v>
      </c>
      <c r="B85" s="2" t="str">
        <f aca="false">Data!B85</f>
        <v>American Tower REIT Inc.</v>
      </c>
      <c r="C85" s="2" t="str">
        <f aca="false">Data!F85</f>
        <v>UTIL/REIT</v>
      </c>
      <c r="D85" s="3" t="str">
        <f aca="false">IF(E85=0,"CORE",IF(E85=1,"WATCH","NON-CORE"))</f>
        <v>NON-CORE</v>
      </c>
      <c r="E85" s="4" t="n">
        <f aca="false">COUNTIF(F85:K85,"FAIL")</f>
        <v>2</v>
      </c>
      <c r="F85" s="3" t="str">
        <f aca="false">IF(C85="FIN",IF(Data!M85=Data!H85,"PASS","FAIL"),IF(AND(ISNUMBER(Data!L85),Data!L85&gt;=Rules!$B$5,IF(Data!H85&lt;5,Data!M85=Data!H85,Data!M85&gt;=Rules!$B$6)),"PASS","FAIL"))</f>
        <v>PASS</v>
      </c>
      <c r="G85" s="3" t="str">
        <f aca="false">IF(C85="FIN","n/a",IF(C85="UTIL/REIT",IF(Data!Q85=Data!H85,"PASS","FAIL"),IF(AND(ISNUMBER(Data!N85),Data!N85&gt;0,IF(Data!H85&lt;5,Data!P85=Data!H85,Data!P85&gt;=Rules!$B$7)),"PASS","FAIL")))</f>
        <v>PASS</v>
      </c>
      <c r="H85" s="3" t="str">
        <f aca="false">IF(C85="FIN",IF(AND(ISNUMBER(Data!S85),Data!S85&gt;=Rules!$B$15),"PASS","FAIL"),IF(AND(ISNUMBER(Data!R85),Data!R85&gt;=Rules!$B$8),"PASS","FAIL"))</f>
        <v>FAIL</v>
      </c>
      <c r="I85" s="3" t="str">
        <f aca="false">IF(C85="FIN","n/a",IF(C85="UTIL/REIT",IF(AND(Data!U85&lt;=Rules!$B$16,Data!V85&gt;=Rules!$B$17),"PASS","FAIL"),IF(AND(Data!U85&lt;=Rules!$B$9,Data!V85&gt;=Rules!$B$10),"PASS","FAIL")))</f>
        <v>FAIL</v>
      </c>
      <c r="J85" s="3" t="str">
        <f aca="false">IF(AND(ISNUMBER(Data!J85),ISNUMBER(Data!K85)),IF(AND(Data!J85&gt;=Rules!$B$11,Data!K85&gt;=Rules!$B$12),"PASS","FAIL"),"FAIL")</f>
        <v>PASS</v>
      </c>
      <c r="K85" s="3" t="str">
        <f aca="false">IF(AND(ISNUMBER(Data!W85),ISNUMBER(Data!X85)),IF(AND(Data!W85&lt;=Rules!$B$13,Data!X85&lt;=Rules!$B$14),"PASS","FAIL"),"FAIL")</f>
        <v>PASS</v>
      </c>
      <c r="L85" s="4" t="str">
        <f aca="false">IF(F85="FAIL","רווחיות; ","")&amp;IF(G85="FAIL","תזרים; ","")&amp;IF(H85="FAIL","תשואה על ההון; ","")&amp;IF(I85="FAIL","מאזן; ","")&amp;IF(J85="FAIL","צמיחה; ","")&amp;IF(K85="FAIL","דילול; ","")</f>
        <v>תשואה על ההון; מאזן; </v>
      </c>
      <c r="M85" s="4" t="s">
        <v>29</v>
      </c>
      <c r="N85" s="5" t="n">
        <f aca="false">IF(M85="EXTREME",Rules!$B$23,IF(M85="HIGH",Rules!$B$22,Rules!$B$21))</f>
        <v>0.1</v>
      </c>
      <c r="O85" s="6" t="n">
        <v>50.9968684067356</v>
      </c>
      <c r="P85" s="4" t="s">
        <v>27</v>
      </c>
      <c r="Q85" s="4" t="s">
        <v>28</v>
      </c>
      <c r="R85" s="4" t="str">
        <f aca="false">IF(Q85="כן",P85,"לא רלוונטי (SMA200 יורד)")</f>
        <v>לא רלוונטי (SMA200 יורד)</v>
      </c>
      <c r="S85" s="4" t="str">
        <f aca="false">IF(NOT(ISNUMBER(T85)),"n/a",IF(AND(T85&gt;Rules!$B$18,ISNUMBER(U85),U85&lt;Rules!$B$19),"יקרה",IF(T85&lt;Rules!$B$20,"זולה","הוגנת")))</f>
        <v>זולה</v>
      </c>
      <c r="T85" s="7" t="n">
        <f aca="false">Data!AA85</f>
        <v>0.483171424344886</v>
      </c>
      <c r="U85" s="8" t="n">
        <f aca="false">Data!AC85</f>
        <v>0.0471595698775393</v>
      </c>
      <c r="V85" s="9" t="n">
        <v>0.0226</v>
      </c>
      <c r="W85" s="5" t="n">
        <v>-0.461</v>
      </c>
    </row>
    <row r="86" customFormat="false" ht="15" hidden="false" customHeight="false" outlineLevel="0" collapsed="false">
      <c r="A86" s="2" t="str">
        <f aca="false">Data!A86</f>
        <v>AMZN</v>
      </c>
      <c r="B86" s="2" t="str">
        <f aca="false">Data!B86</f>
        <v>Amazon.com Inc.</v>
      </c>
      <c r="C86" s="2" t="str">
        <f aca="false">Data!F86</f>
        <v>STD</v>
      </c>
      <c r="D86" s="3" t="str">
        <f aca="false">IF(E86=0,"CORE",IF(E86=1,"WATCH","NON-CORE"))</f>
        <v>NON-CORE</v>
      </c>
      <c r="E86" s="4" t="n">
        <f aca="false">COUNTIF(F86:K86,"FAIL")</f>
        <v>2</v>
      </c>
      <c r="F86" s="3" t="str">
        <f aca="false">IF(C86="FIN",IF(Data!M86=Data!H86,"PASS","FAIL"),IF(AND(ISNUMBER(Data!L86),Data!L86&gt;=Rules!$B$5,IF(Data!H86&lt;5,Data!M86=Data!H86,Data!M86&gt;=Rules!$B$6)),"PASS","FAIL"))</f>
        <v>PASS</v>
      </c>
      <c r="G86" s="3" t="str">
        <f aca="false">IF(C86="FIN","n/a",IF(C86="UTIL/REIT",IF(Data!Q86=Data!H86,"PASS","FAIL"),IF(AND(ISNUMBER(Data!N86),Data!N86&gt;0,IF(Data!H86&lt;5,Data!P86=Data!H86,Data!P86&gt;=Rules!$B$7)),"PASS","FAIL")))</f>
        <v>FAIL</v>
      </c>
      <c r="H86" s="3" t="str">
        <f aca="false">IF(C86="FIN",IF(AND(ISNUMBER(Data!S86),Data!S86&gt;=Rules!$B$15),"PASS","FAIL"),IF(AND(ISNUMBER(Data!R86),Data!R86&gt;=Rules!$B$8),"PASS","FAIL"))</f>
        <v>PASS</v>
      </c>
      <c r="I86" s="3" t="str">
        <f aca="false">IF(C86="FIN","n/a",IF(C86="UTIL/REIT",IF(AND(Data!U86&lt;=Rules!$B$16,Data!V86&gt;=Rules!$B$17),"PASS","FAIL"),IF(AND(Data!U86&lt;=Rules!$B$9,Data!V86&gt;=Rules!$B$10),"PASS","FAIL")))</f>
        <v>PASS</v>
      </c>
      <c r="J86" s="3" t="str">
        <f aca="false">IF(AND(ISNUMBER(Data!J86),ISNUMBER(Data!K86)),IF(AND(Data!J86&gt;=Rules!$B$11,Data!K86&gt;=Rules!$B$12),"PASS","FAIL"),"FAIL")</f>
        <v>PASS</v>
      </c>
      <c r="K86" s="3" t="str">
        <f aca="false">IF(AND(ISNUMBER(Data!W86),ISNUMBER(Data!X86)),IF(AND(Data!W86&lt;=Rules!$B$13,Data!X86&lt;=Rules!$B$14),"PASS","FAIL"),"FAIL")</f>
        <v>FAIL</v>
      </c>
      <c r="L86" s="4" t="str">
        <f aca="false">IF(F86="FAIL","רווחיות; ","")&amp;IF(G86="FAIL","תזרים; ","")&amp;IF(H86="FAIL","תשואה על ההון; ","")&amp;IF(I86="FAIL","מאזן; ","")&amp;IF(J86="FAIL","צמיחה; ","")&amp;IF(K86="FAIL","דילול; ","")</f>
        <v>תזרים; דילול; </v>
      </c>
      <c r="M86" s="4" t="s">
        <v>23</v>
      </c>
      <c r="N86" s="5" t="n">
        <f aca="false">IF(M86="EXTREME",Rules!$B$23,IF(M86="HIGH",Rules!$B$22,Rules!$B$21))</f>
        <v>0.06</v>
      </c>
      <c r="O86" s="6" t="n">
        <v>64.6907172523871</v>
      </c>
      <c r="P86" s="4" t="s">
        <v>27</v>
      </c>
      <c r="Q86" s="4" t="s">
        <v>25</v>
      </c>
      <c r="R86" s="4" t="str">
        <f aca="false">IF(Q86="כן",P86,"לא רלוונטי (SMA200 יורד)")</f>
        <v>Q3</v>
      </c>
      <c r="S86" s="4" t="str">
        <f aca="false">IF(NOT(ISNUMBER(T86)),"n/a",IF(AND(T86&gt;Rules!$B$18,ISNUMBER(U86),U86&lt;Rules!$B$19),"יקרה",IF(T86&lt;Rules!$B$20,"זולה","הוגנת")))</f>
        <v>זולה</v>
      </c>
      <c r="T86" s="7" t="n">
        <f aca="false">Data!AA86</f>
        <v>0.462540079378833</v>
      </c>
      <c r="U86" s="8" t="n">
        <f aca="false">Data!AC86</f>
        <v>-0.00416399489978431</v>
      </c>
      <c r="V86" s="9" t="n">
        <v>0.0219</v>
      </c>
      <c r="W86" s="5" t="n">
        <v>-0.5572</v>
      </c>
    </row>
    <row r="87" customFormat="false" ht="15" hidden="false" customHeight="false" outlineLevel="0" collapsed="false">
      <c r="A87" s="2" t="str">
        <f aca="false">Data!A87</f>
        <v>BLK</v>
      </c>
      <c r="B87" s="2" t="str">
        <f aca="false">Data!B87</f>
        <v>BlackRock Inc.</v>
      </c>
      <c r="C87" s="2" t="str">
        <f aca="false">Data!F87</f>
        <v>FIN</v>
      </c>
      <c r="D87" s="3" t="str">
        <f aca="false">IF(E87=0,"CORE",IF(E87=1,"WATCH","NON-CORE"))</f>
        <v>NON-CORE</v>
      </c>
      <c r="E87" s="4" t="n">
        <f aca="false">COUNTIF(F87:K87,"FAIL")</f>
        <v>2</v>
      </c>
      <c r="F87" s="3" t="str">
        <f aca="false">IF(C87="FIN",IF(Data!M87=Data!H87,"PASS","FAIL"),IF(AND(ISNUMBER(Data!L87),Data!L87&gt;=Rules!$B$5,IF(Data!H87&lt;5,Data!M87=Data!H87,Data!M87&gt;=Rules!$B$6)),"PASS","FAIL"))</f>
        <v>PASS</v>
      </c>
      <c r="G87" s="3" t="str">
        <f aca="false">IF(C87="FIN","n/a",IF(C87="UTIL/REIT",IF(Data!Q87=Data!H87,"PASS","FAIL"),IF(AND(ISNUMBER(Data!N87),Data!N87&gt;0,IF(Data!H87&lt;5,Data!P87=Data!H87,Data!P87&gt;=Rules!$B$7)),"PASS","FAIL")))</f>
        <v>n/a</v>
      </c>
      <c r="H87" s="3" t="str">
        <f aca="false">IF(C87="FIN",IF(AND(ISNUMBER(Data!S87),Data!S87&gt;=Rules!$B$15),"PASS","FAIL"),IF(AND(ISNUMBER(Data!R87),Data!R87&gt;=Rules!$B$8),"PASS","FAIL"))</f>
        <v>FAIL</v>
      </c>
      <c r="I87" s="3" t="str">
        <f aca="false">IF(C87="FIN","n/a",IF(C87="UTIL/REIT",IF(AND(Data!U87&lt;=Rules!$B$16,Data!V87&gt;=Rules!$B$17),"PASS","FAIL"),IF(AND(Data!U87&lt;=Rules!$B$9,Data!V87&gt;=Rules!$B$10),"PASS","FAIL")))</f>
        <v>n/a</v>
      </c>
      <c r="J87" s="3" t="str">
        <f aca="false">IF(AND(ISNUMBER(Data!J87),ISNUMBER(Data!K87)),IF(AND(Data!J87&gt;=Rules!$B$11,Data!K87&gt;=Rules!$B$12),"PASS","FAIL"),"FAIL")</f>
        <v>PASS</v>
      </c>
      <c r="K87" s="3" t="str">
        <f aca="false">IF(AND(ISNUMBER(Data!W87),ISNUMBER(Data!X87)),IF(AND(Data!W87&lt;=Rules!$B$13,Data!X87&lt;=Rules!$B$14),"PASS","FAIL"),"FAIL")</f>
        <v>FAIL</v>
      </c>
      <c r="L87" s="4" t="str">
        <f aca="false">IF(F87="FAIL","רווחיות; ","")&amp;IF(G87="FAIL","תזרים; ","")&amp;IF(H87="FAIL","תשואה על ההון; ","")&amp;IF(I87="FAIL","מאזן; ","")&amp;IF(J87="FAIL","צמיחה; ","")&amp;IF(K87="FAIL","דילול; ","")</f>
        <v>תשואה על ההון; דילול; </v>
      </c>
      <c r="M87" s="4" t="s">
        <v>29</v>
      </c>
      <c r="N87" s="5" t="n">
        <f aca="false">IF(M87="EXTREME",Rules!$B$23,IF(M87="HIGH",Rules!$B$22,Rules!$B$21))</f>
        <v>0.1</v>
      </c>
      <c r="O87" s="6" t="n">
        <v>68.8806449717266</v>
      </c>
      <c r="P87" s="4" t="s">
        <v>27</v>
      </c>
      <c r="Q87" s="4" t="s">
        <v>25</v>
      </c>
      <c r="R87" s="4" t="str">
        <f aca="false">IF(Q87="כן",P87,"לא רלוונטי (SMA200 יורד)")</f>
        <v>Q3</v>
      </c>
      <c r="S87" s="4" t="str">
        <f aca="false">IF(NOT(ISNUMBER(T87)),"n/a",IF(AND(T87&gt;Rules!$B$18,ISNUMBER(U87),U87&lt;Rules!$B$19),"יקרה",IF(T87&lt;Rules!$B$20,"זולה","הוגנת")))</f>
        <v>הוגנת</v>
      </c>
      <c r="T87" s="7" t="n">
        <f aca="false">Data!AA87</f>
        <v>1.07396828850964</v>
      </c>
      <c r="U87" s="8" t="n">
        <f aca="false">Data!AC87</f>
        <v>0.013925138884729</v>
      </c>
      <c r="V87" s="9" t="n">
        <v>0.0206</v>
      </c>
      <c r="W87" s="5" t="n">
        <v>-0.4541</v>
      </c>
    </row>
    <row r="88" customFormat="false" ht="15" hidden="false" customHeight="false" outlineLevel="0" collapsed="false">
      <c r="A88" s="2" t="str">
        <f aca="false">Data!A88</f>
        <v>BRK-B</v>
      </c>
      <c r="B88" s="2" t="str">
        <f aca="false">Data!B88</f>
        <v>Berkshire Hathaway Inc.</v>
      </c>
      <c r="C88" s="2" t="str">
        <f aca="false">Data!F88</f>
        <v>FIN</v>
      </c>
      <c r="D88" s="3" t="str">
        <f aca="false">IF(E88=0,"CORE",IF(E88=1,"WATCH","NON-CORE"))</f>
        <v>NON-CORE</v>
      </c>
      <c r="E88" s="4" t="n">
        <f aca="false">COUNTIF(F88:K88,"FAIL")</f>
        <v>2</v>
      </c>
      <c r="F88" s="3" t="str">
        <f aca="false">IF(C88="FIN",IF(Data!M88=Data!H88,"PASS","FAIL"),IF(AND(ISNUMBER(Data!L88),Data!L88&gt;=Rules!$B$5,IF(Data!H88&lt;5,Data!M88=Data!H88,Data!M88&gt;=Rules!$B$6)),"PASS","FAIL"))</f>
        <v>FAIL</v>
      </c>
      <c r="G88" s="3" t="str">
        <f aca="false">IF(C88="FIN","n/a",IF(C88="UTIL/REIT",IF(Data!Q88=Data!H88,"PASS","FAIL"),IF(AND(ISNUMBER(Data!N88),Data!N88&gt;0,IF(Data!H88&lt;5,Data!P88=Data!H88,Data!P88&gt;=Rules!$B$7)),"PASS","FAIL")))</f>
        <v>n/a</v>
      </c>
      <c r="H88" s="3" t="str">
        <f aca="false">IF(C88="FIN",IF(AND(ISNUMBER(Data!S88),Data!S88&gt;=Rules!$B$15),"PASS","FAIL"),IF(AND(ISNUMBER(Data!R88),Data!R88&gt;=Rules!$B$8),"PASS","FAIL"))</f>
        <v>FAIL</v>
      </c>
      <c r="I88" s="3" t="str">
        <f aca="false">IF(C88="FIN","n/a",IF(C88="UTIL/REIT",IF(AND(Data!U88&lt;=Rules!$B$16,Data!V88&gt;=Rules!$B$17),"PASS","FAIL"),IF(AND(Data!U88&lt;=Rules!$B$9,Data!V88&gt;=Rules!$B$10),"PASS","FAIL")))</f>
        <v>n/a</v>
      </c>
      <c r="J88" s="3" t="str">
        <f aca="false">IF(AND(ISNUMBER(Data!J88),ISNUMBER(Data!K88)),IF(AND(Data!J88&gt;=Rules!$B$11,Data!K88&gt;=Rules!$B$12),"PASS","FAIL"),"FAIL")</f>
        <v>PASS</v>
      </c>
      <c r="K88" s="3" t="str">
        <f aca="false">IF(AND(ISNUMBER(Data!W88),ISNUMBER(Data!X88)),IF(AND(Data!W88&lt;=Rules!$B$13,Data!X88&lt;=Rules!$B$14),"PASS","FAIL"),"FAIL")</f>
        <v>PASS</v>
      </c>
      <c r="L88" s="4" t="str">
        <f aca="false">IF(F88="FAIL","רווחיות; ","")&amp;IF(G88="FAIL","תזרים; ","")&amp;IF(H88="FAIL","תשואה על ההון; ","")&amp;IF(I88="FAIL","מאזן; ","")&amp;IF(J88="FAIL","צמיחה; ","")&amp;IF(K88="FAIL","דילול; ","")</f>
        <v>רווחיות; תשואה על ההון; </v>
      </c>
      <c r="M88" s="4" t="s">
        <v>31</v>
      </c>
      <c r="N88" s="5" t="n">
        <f aca="false">IF(M88="EXTREME",Rules!$B$23,IF(M88="HIGH",Rules!$B$22,Rules!$B$21))</f>
        <v>0.1</v>
      </c>
      <c r="O88" s="6" t="n">
        <v>63.1737806785245</v>
      </c>
      <c r="P88" s="4" t="s">
        <v>27</v>
      </c>
      <c r="Q88" s="4" t="s">
        <v>25</v>
      </c>
      <c r="R88" s="4" t="str">
        <f aca="false">IF(Q88="כן",P88,"לא רלוונטי (SMA200 יורד)")</f>
        <v>Q3</v>
      </c>
      <c r="S88" s="4" t="str">
        <f aca="false">IF(NOT(ISNUMBER(T88)),"n/a",IF(AND(T88&gt;Rules!$B$18,ISNUMBER(U88),U88&lt;Rules!$B$19),"יקרה",IF(T88&lt;Rules!$B$20,"זולה","הוגנת")))</f>
        <v>הוגנת</v>
      </c>
      <c r="T88" s="7" t="n">
        <f aca="false">Data!AA88</f>
        <v>1.36877593790436</v>
      </c>
      <c r="U88" s="8" t="n">
        <f aca="false">Data!AC88</f>
        <v>0.0215317353604378</v>
      </c>
      <c r="V88" s="9" t="n">
        <v>0.0129</v>
      </c>
      <c r="W88" s="5" t="n">
        <v>-0.2657</v>
      </c>
    </row>
    <row r="89" customFormat="false" ht="15" hidden="false" customHeight="false" outlineLevel="0" collapsed="false">
      <c r="A89" s="2" t="str">
        <f aca="false">Data!A89</f>
        <v>COIN</v>
      </c>
      <c r="B89" s="2" t="str">
        <f aca="false">Data!B89</f>
        <v>Coinbase Global Inc.</v>
      </c>
      <c r="C89" s="2" t="str">
        <f aca="false">Data!F89</f>
        <v>FIN</v>
      </c>
      <c r="D89" s="3" t="str">
        <f aca="false">IF(E89=0,"CORE",IF(E89=1,"WATCH","NON-CORE"))</f>
        <v>NON-CORE</v>
      </c>
      <c r="E89" s="4" t="n">
        <f aca="false">COUNTIF(F89:K89,"FAIL")</f>
        <v>3</v>
      </c>
      <c r="F89" s="3" t="str">
        <f aca="false">IF(C89="FIN",IF(Data!M89=Data!H89,"PASS","FAIL"),IF(AND(ISNUMBER(Data!L89),Data!L89&gt;=Rules!$B$5,IF(Data!H89&lt;5,Data!M89=Data!H89,Data!M89&gt;=Rules!$B$6)),"PASS","FAIL"))</f>
        <v>FAIL</v>
      </c>
      <c r="G89" s="3" t="str">
        <f aca="false">IF(C89="FIN","n/a",IF(C89="UTIL/REIT",IF(Data!Q89=Data!H89,"PASS","FAIL"),IF(AND(ISNUMBER(Data!N89),Data!N89&gt;0,IF(Data!H89&lt;5,Data!P89=Data!H89,Data!P89&gt;=Rules!$B$7)),"PASS","FAIL")))</f>
        <v>n/a</v>
      </c>
      <c r="H89" s="3" t="str">
        <f aca="false">IF(C89="FIN",IF(AND(ISNUMBER(Data!S89),Data!S89&gt;=Rules!$B$15),"PASS","FAIL"),IF(AND(ISNUMBER(Data!R89),Data!R89&gt;=Rules!$B$8),"PASS","FAIL"))</f>
        <v>FAIL</v>
      </c>
      <c r="I89" s="3" t="str">
        <f aca="false">IF(C89="FIN","n/a",IF(C89="UTIL/REIT",IF(AND(Data!U89&lt;=Rules!$B$16,Data!V89&gt;=Rules!$B$17),"PASS","FAIL"),IF(AND(Data!U89&lt;=Rules!$B$9,Data!V89&gt;=Rules!$B$10),"PASS","FAIL")))</f>
        <v>n/a</v>
      </c>
      <c r="J89" s="3" t="str">
        <f aca="false">IF(AND(ISNUMBER(Data!J89),ISNUMBER(Data!K89)),IF(AND(Data!J89&gt;=Rules!$B$11,Data!K89&gt;=Rules!$B$12),"PASS","FAIL"),"FAIL")</f>
        <v>PASS</v>
      </c>
      <c r="K89" s="3" t="str">
        <f aca="false">IF(AND(ISNUMBER(Data!W89),ISNUMBER(Data!X89)),IF(AND(Data!W89&lt;=Rules!$B$13,Data!X89&lt;=Rules!$B$14),"PASS","FAIL"),"FAIL")</f>
        <v>FAIL</v>
      </c>
      <c r="L89" s="4" t="str">
        <f aca="false">IF(F89="FAIL","רווחיות; ","")&amp;IF(G89="FAIL","תזרים; ","")&amp;IF(H89="FAIL","תשואה על ההון; ","")&amp;IF(I89="FAIL","מאזן; ","")&amp;IF(J89="FAIL","צמיחה; ","")&amp;IF(K89="FAIL","דילול; ","")</f>
        <v>רווחיות; תשואה על ההון; דילול; </v>
      </c>
      <c r="M89" s="4" t="s">
        <v>26</v>
      </c>
      <c r="N89" s="5" t="n">
        <f aca="false">IF(M89="EXTREME",Rules!$B$23,IF(M89="HIGH",Rules!$B$22,Rules!$B$21))</f>
        <v>0.03</v>
      </c>
      <c r="O89" s="6" t="n">
        <v>62.2621685714665</v>
      </c>
      <c r="P89" s="4" t="s">
        <v>27</v>
      </c>
      <c r="Q89" s="4" t="s">
        <v>28</v>
      </c>
      <c r="R89" s="4" t="str">
        <f aca="false">IF(Q89="כן",P89,"לא רלוונטי (SMA200 יורד)")</f>
        <v>לא רלוונטי (SMA200 יורד)</v>
      </c>
      <c r="S89" s="4" t="str">
        <f aca="false">IF(NOT(ISNUMBER(T89)),"n/a",IF(AND(T89&gt;Rules!$B$18,ISNUMBER(U89),U89&lt;Rules!$B$19),"יקרה",IF(T89&lt;Rules!$B$20,"זולה","הוגנת")))</f>
        <v>n/a</v>
      </c>
      <c r="T89" s="7" t="str">
        <f aca="false">Data!AA89</f>
        <v/>
      </c>
      <c r="U89" s="8" t="n">
        <f aca="false">Data!AC89</f>
        <v>0.0554851721510005</v>
      </c>
      <c r="V89" s="9" t="n">
        <v>0.0533</v>
      </c>
      <c r="W89" s="5" t="n">
        <v>-0.9089</v>
      </c>
    </row>
    <row r="90" customFormat="false" ht="15" hidden="false" customHeight="false" outlineLevel="0" collapsed="false">
      <c r="A90" s="2" t="str">
        <f aca="false">Data!A90</f>
        <v>CRDO</v>
      </c>
      <c r="B90" s="2" t="str">
        <f aca="false">Data!B90</f>
        <v>Credo Technology Group Holding Ltd.</v>
      </c>
      <c r="C90" s="2" t="str">
        <f aca="false">Data!F90</f>
        <v>STD</v>
      </c>
      <c r="D90" s="3" t="str">
        <f aca="false">IF(E90=0,"CORE",IF(E90=1,"WATCH","NON-CORE"))</f>
        <v>NON-CORE</v>
      </c>
      <c r="E90" s="4" t="n">
        <f aca="false">COUNTIF(F90:K90,"FAIL")</f>
        <v>3</v>
      </c>
      <c r="F90" s="3" t="str">
        <f aca="false">IF(C90="FIN",IF(Data!M90=Data!H90,"PASS","FAIL"),IF(AND(ISNUMBER(Data!L90),Data!L90&gt;=Rules!$B$5,IF(Data!H90&lt;5,Data!M90=Data!H90,Data!M90&gt;=Rules!$B$6)),"PASS","FAIL"))</f>
        <v>FAIL</v>
      </c>
      <c r="G90" s="3" t="str">
        <f aca="false">IF(C90="FIN","n/a",IF(C90="UTIL/REIT",IF(Data!Q90=Data!H90,"PASS","FAIL"),IF(AND(ISNUMBER(Data!N90),Data!N90&gt;0,IF(Data!H90&lt;5,Data!P90=Data!H90,Data!P90&gt;=Rules!$B$7)),"PASS","FAIL")))</f>
        <v>FAIL</v>
      </c>
      <c r="H90" s="3" t="str">
        <f aca="false">IF(C90="FIN",IF(AND(ISNUMBER(Data!S90),Data!S90&gt;=Rules!$B$15),"PASS","FAIL"),IF(AND(ISNUMBER(Data!R90),Data!R90&gt;=Rules!$B$8),"PASS","FAIL"))</f>
        <v>PASS</v>
      </c>
      <c r="I90" s="3" t="str">
        <f aca="false">IF(C90="FIN","n/a",IF(C90="UTIL/REIT",IF(AND(Data!U90&lt;=Rules!$B$16,Data!V90&gt;=Rules!$B$17),"PASS","FAIL"),IF(AND(Data!U90&lt;=Rules!$B$9,Data!V90&gt;=Rules!$B$10),"PASS","FAIL")))</f>
        <v>PASS</v>
      </c>
      <c r="J90" s="3" t="str">
        <f aca="false">IF(AND(ISNUMBER(Data!J90),ISNUMBER(Data!K90)),IF(AND(Data!J90&gt;=Rules!$B$11,Data!K90&gt;=Rules!$B$12),"PASS","FAIL"),"FAIL")</f>
        <v>PASS</v>
      </c>
      <c r="K90" s="3" t="str">
        <f aca="false">IF(AND(ISNUMBER(Data!W90),ISNUMBER(Data!X90)),IF(AND(Data!W90&lt;=Rules!$B$13,Data!X90&lt;=Rules!$B$14),"PASS","FAIL"),"FAIL")</f>
        <v>FAIL</v>
      </c>
      <c r="L90" s="4" t="str">
        <f aca="false">IF(F90="FAIL","רווחיות; ","")&amp;IF(G90="FAIL","תזרים; ","")&amp;IF(H90="FAIL","תשואה על ההון; ","")&amp;IF(I90="FAIL","מאזן; ","")&amp;IF(J90="FAIL","צמיחה; ","")&amp;IF(K90="FAIL","דילול; ","")</f>
        <v>רווחיות; תזרים; דילול; </v>
      </c>
      <c r="M90" s="4" t="s">
        <v>26</v>
      </c>
      <c r="N90" s="5" t="n">
        <f aca="false">IF(M90="EXTREME",Rules!$B$23,IF(M90="HIGH",Rules!$B$22,Rules!$B$21))</f>
        <v>0.03</v>
      </c>
      <c r="O90" s="6" t="n">
        <v>76.5028598239421</v>
      </c>
      <c r="P90" s="4" t="s">
        <v>30</v>
      </c>
      <c r="Q90" s="4" t="s">
        <v>25</v>
      </c>
      <c r="R90" s="4" t="str">
        <f aca="false">IF(Q90="כן",P90,"לא רלוונטי (SMA200 יורד)")</f>
        <v>Q4</v>
      </c>
      <c r="S90" s="4" t="str">
        <f aca="false">IF(NOT(ISNUMBER(T90)),"n/a",IF(AND(T90&gt;Rules!$B$18,ISNUMBER(U90),U90&lt;Rules!$B$19),"יקרה",IF(T90&lt;Rules!$B$20,"זולה","הוגנת")))</f>
        <v>זולה</v>
      </c>
      <c r="T90" s="7" t="n">
        <f aca="false">Data!AA90</f>
        <v>0.653220461518755</v>
      </c>
      <c r="U90" s="8" t="n">
        <f aca="false">Data!AC90</f>
        <v>0.0117108675504673</v>
      </c>
      <c r="V90" s="9" t="n">
        <v>0.0701</v>
      </c>
      <c r="W90" s="5" t="n">
        <v>-0.6202</v>
      </c>
    </row>
    <row r="91" customFormat="false" ht="15" hidden="false" customHeight="false" outlineLevel="0" collapsed="false">
      <c r="A91" s="2" t="str">
        <f aca="false">Data!A91</f>
        <v>CRWD</v>
      </c>
      <c r="B91" s="2" t="str">
        <f aca="false">Data!B91</f>
        <v>CrowdStrike Holdings Inc.</v>
      </c>
      <c r="C91" s="2" t="str">
        <f aca="false">Data!F91</f>
        <v>STD</v>
      </c>
      <c r="D91" s="3" t="str">
        <f aca="false">IF(E91=0,"CORE",IF(E91=1,"WATCH","NON-CORE"))</f>
        <v>NON-CORE</v>
      </c>
      <c r="E91" s="4" t="n">
        <f aca="false">COUNTIF(F91:K91,"FAIL")</f>
        <v>4</v>
      </c>
      <c r="F91" s="3" t="str">
        <f aca="false">IF(C91="FIN",IF(Data!M91=Data!H91,"PASS","FAIL"),IF(AND(ISNUMBER(Data!L91),Data!L91&gt;=Rules!$B$5,IF(Data!H91&lt;5,Data!M91=Data!H91,Data!M91&gt;=Rules!$B$6)),"PASS","FAIL"))</f>
        <v>FAIL</v>
      </c>
      <c r="G91" s="3" t="str">
        <f aca="false">IF(C91="FIN","n/a",IF(C91="UTIL/REIT",IF(Data!Q91=Data!H91,"PASS","FAIL"),IF(AND(ISNUMBER(Data!N91),Data!N91&gt;0,IF(Data!H91&lt;5,Data!P91=Data!H91,Data!P91&gt;=Rules!$B$7)),"PASS","FAIL")))</f>
        <v>PASS</v>
      </c>
      <c r="H91" s="3" t="str">
        <f aca="false">IF(C91="FIN",IF(AND(ISNUMBER(Data!S91),Data!S91&gt;=Rules!$B$15),"PASS","FAIL"),IF(AND(ISNUMBER(Data!R91),Data!R91&gt;=Rules!$B$8),"PASS","FAIL"))</f>
        <v>FAIL</v>
      </c>
      <c r="I91" s="3" t="str">
        <f aca="false">IF(C91="FIN","n/a",IF(C91="UTIL/REIT",IF(AND(Data!U91&lt;=Rules!$B$16,Data!V91&gt;=Rules!$B$17),"PASS","FAIL"),IF(AND(Data!U91&lt;=Rules!$B$9,Data!V91&gt;=Rules!$B$10),"PASS","FAIL")))</f>
        <v>FAIL</v>
      </c>
      <c r="J91" s="3" t="str">
        <f aca="false">IF(AND(ISNUMBER(Data!J91),ISNUMBER(Data!K91)),IF(AND(Data!J91&gt;=Rules!$B$11,Data!K91&gt;=Rules!$B$12),"PASS","FAIL"),"FAIL")</f>
        <v>PASS</v>
      </c>
      <c r="K91" s="3" t="str">
        <f aca="false">IF(AND(ISNUMBER(Data!W91),ISNUMBER(Data!X91)),IF(AND(Data!W91&lt;=Rules!$B$13,Data!X91&lt;=Rules!$B$14),"PASS","FAIL"),"FAIL")</f>
        <v>FAIL</v>
      </c>
      <c r="L91" s="4" t="str">
        <f aca="false">IF(F91="FAIL","רווחיות; ","")&amp;IF(G91="FAIL","תזרים; ","")&amp;IF(H91="FAIL","תשואה על ההון; ","")&amp;IF(I91="FAIL","מאזן; ","")&amp;IF(J91="FAIL","צמיחה; ","")&amp;IF(K91="FAIL","דילול; ","")</f>
        <v>רווחיות; תשואה על ההון; מאזן; דילול; </v>
      </c>
      <c r="M91" s="4" t="s">
        <v>26</v>
      </c>
      <c r="N91" s="5" t="n">
        <f aca="false">IF(M91="EXTREME",Rules!$B$23,IF(M91="HIGH",Rules!$B$22,Rules!$B$21))</f>
        <v>0.03</v>
      </c>
      <c r="O91" s="6" t="n">
        <v>3.38906823726558</v>
      </c>
      <c r="P91" s="4" t="s">
        <v>32</v>
      </c>
      <c r="Q91" s="4" t="s">
        <v>25</v>
      </c>
      <c r="R91" s="4" t="str">
        <f aca="false">IF(Q91="כן",P91,"לא רלוונטי (SMA200 יורד)")</f>
        <v>Q1</v>
      </c>
      <c r="S91" s="4" t="str">
        <f aca="false">IF(NOT(ISNUMBER(T91)),"n/a",IF(AND(T91&gt;Rules!$B$18,ISNUMBER(U91),U91&lt;Rules!$B$19),"יקרה",IF(T91&lt;Rules!$B$20,"זולה","הוגנת")))</f>
        <v>יקרה</v>
      </c>
      <c r="T91" s="7" t="n">
        <f aca="false">Data!AA91</f>
        <v>9.55282874986015</v>
      </c>
      <c r="U91" s="8" t="n">
        <f aca="false">Data!AC91</f>
        <v>0.00581068710710337</v>
      </c>
      <c r="V91" s="9" t="n">
        <v>0.0501</v>
      </c>
      <c r="W91" s="5" t="n">
        <v>-0.677</v>
      </c>
    </row>
    <row r="92" customFormat="false" ht="15" hidden="false" customHeight="false" outlineLevel="0" collapsed="false">
      <c r="A92" s="2" t="str">
        <f aca="false">Data!A92</f>
        <v>CVX</v>
      </c>
      <c r="B92" s="2" t="str">
        <f aca="false">Data!B92</f>
        <v>Chevron Corp.</v>
      </c>
      <c r="C92" s="2" t="str">
        <f aca="false">Data!F92</f>
        <v>STD</v>
      </c>
      <c r="D92" s="3" t="str">
        <f aca="false">IF(E92=0,"CORE",IF(E92=1,"WATCH","NON-CORE"))</f>
        <v>NON-CORE</v>
      </c>
      <c r="E92" s="4" t="n">
        <f aca="false">COUNTIF(F92:K92,"FAIL")</f>
        <v>3</v>
      </c>
      <c r="F92" s="3" t="str">
        <f aca="false">IF(C92="FIN",IF(Data!M92=Data!H92,"PASS","FAIL"),IF(AND(ISNUMBER(Data!L92),Data!L92&gt;=Rules!$B$5,IF(Data!H92&lt;5,Data!M92=Data!H92,Data!M92&gt;=Rules!$B$6)),"PASS","FAIL"))</f>
        <v>FAIL</v>
      </c>
      <c r="G92" s="3" t="str">
        <f aca="false">IF(C92="FIN","n/a",IF(C92="UTIL/REIT",IF(Data!Q92=Data!H92,"PASS","FAIL"),IF(AND(ISNUMBER(Data!N92),Data!N92&gt;0,IF(Data!H92&lt;5,Data!P92=Data!H92,Data!P92&gt;=Rules!$B$7)),"PASS","FAIL")))</f>
        <v>PASS</v>
      </c>
      <c r="H92" s="3" t="str">
        <f aca="false">IF(C92="FIN",IF(AND(ISNUMBER(Data!S92),Data!S92&gt;=Rules!$B$15),"PASS","FAIL"),IF(AND(ISNUMBER(Data!R92),Data!R92&gt;=Rules!$B$8),"PASS","FAIL"))</f>
        <v>FAIL</v>
      </c>
      <c r="I92" s="3" t="str">
        <f aca="false">IF(C92="FIN","n/a",IF(C92="UTIL/REIT",IF(AND(Data!U92&lt;=Rules!$B$16,Data!V92&gt;=Rules!$B$17),"PASS","FAIL"),IF(AND(Data!U92&lt;=Rules!$B$9,Data!V92&gt;=Rules!$B$10),"PASS","FAIL")))</f>
        <v>PASS</v>
      </c>
      <c r="J92" s="3" t="str">
        <f aca="false">IF(AND(ISNUMBER(Data!J92),ISNUMBER(Data!K92)),IF(AND(Data!J92&gt;=Rules!$B$11,Data!K92&gt;=Rules!$B$12),"PASS","FAIL"),"FAIL")</f>
        <v>FAIL</v>
      </c>
      <c r="K92" s="3" t="str">
        <f aca="false">IF(AND(ISNUMBER(Data!W92),ISNUMBER(Data!X92)),IF(AND(Data!W92&lt;=Rules!$B$13,Data!X92&lt;=Rules!$B$14),"PASS","FAIL"),"FAIL")</f>
        <v>PASS</v>
      </c>
      <c r="L92" s="4" t="str">
        <f aca="false">IF(F92="FAIL","רווחיות; ","")&amp;IF(G92="FAIL","תזרים; ","")&amp;IF(H92="FAIL","תשואה על ההון; ","")&amp;IF(I92="FAIL","מאזן; ","")&amp;IF(J92="FAIL","צמיחה; ","")&amp;IF(K92="FAIL","דילול; ","")</f>
        <v>רווחיות; תשואה על ההון; צמיחה; </v>
      </c>
      <c r="M92" s="4" t="s">
        <v>29</v>
      </c>
      <c r="N92" s="5" t="n">
        <f aca="false">IF(M92="EXTREME",Rules!$B$23,IF(M92="HIGH",Rules!$B$22,Rules!$B$21))</f>
        <v>0.1</v>
      </c>
      <c r="O92" s="6" t="n">
        <v>19.93253425891</v>
      </c>
      <c r="P92" s="4" t="s">
        <v>32</v>
      </c>
      <c r="Q92" s="4" t="s">
        <v>25</v>
      </c>
      <c r="R92" s="4" t="str">
        <f aca="false">IF(Q92="כן",P92,"לא רלוונטי (SMA200 יורד)")</f>
        <v>Q1</v>
      </c>
      <c r="S92" s="4" t="str">
        <f aca="false">IF(NOT(ISNUMBER(T92)),"n/a",IF(AND(T92&gt;Rules!$B$18,ISNUMBER(U92),U92&lt;Rules!$B$19),"יקרה",IF(T92&lt;Rules!$B$20,"זולה","הוגנת")))</f>
        <v>הוגנת</v>
      </c>
      <c r="T92" s="7" t="n">
        <f aca="false">Data!AA92</f>
        <v>1.44028243904206</v>
      </c>
      <c r="U92" s="8" t="n">
        <f aca="false">Data!AC92</f>
        <v>0.062530958194371</v>
      </c>
      <c r="V92" s="9" t="n">
        <v>0.018</v>
      </c>
      <c r="W92" s="5" t="n">
        <v>-0.2892</v>
      </c>
    </row>
    <row r="93" customFormat="false" ht="15" hidden="false" customHeight="false" outlineLevel="0" collapsed="false">
      <c r="A93" s="2" t="str">
        <f aca="false">Data!A93</f>
        <v>DDOG</v>
      </c>
      <c r="B93" s="2" t="str">
        <f aca="false">Data!B93</f>
        <v>Datadog Inc.</v>
      </c>
      <c r="C93" s="2" t="str">
        <f aca="false">Data!F93</f>
        <v>STD</v>
      </c>
      <c r="D93" s="3" t="str">
        <f aca="false">IF(E93=0,"CORE",IF(E93=1,"WATCH","NON-CORE"))</f>
        <v>NON-CORE</v>
      </c>
      <c r="E93" s="4" t="n">
        <f aca="false">COUNTIF(F93:K93,"FAIL")</f>
        <v>4</v>
      </c>
      <c r="F93" s="3" t="str">
        <f aca="false">IF(C93="FIN",IF(Data!M93=Data!H93,"PASS","FAIL"),IF(AND(ISNUMBER(Data!L93),Data!L93&gt;=Rules!$B$5,IF(Data!H93&lt;5,Data!M93=Data!H93,Data!M93&gt;=Rules!$B$6)),"PASS","FAIL"))</f>
        <v>FAIL</v>
      </c>
      <c r="G93" s="3" t="str">
        <f aca="false">IF(C93="FIN","n/a",IF(C93="UTIL/REIT",IF(Data!Q93=Data!H93,"PASS","FAIL"),IF(AND(ISNUMBER(Data!N93),Data!N93&gt;0,IF(Data!H93&lt;5,Data!P93=Data!H93,Data!P93&gt;=Rules!$B$7)),"PASS","FAIL")))</f>
        <v>PASS</v>
      </c>
      <c r="H93" s="3" t="str">
        <f aca="false">IF(C93="FIN",IF(AND(ISNUMBER(Data!S93),Data!S93&gt;=Rules!$B$15),"PASS","FAIL"),IF(AND(ISNUMBER(Data!R93),Data!R93&gt;=Rules!$B$8),"PASS","FAIL"))</f>
        <v>FAIL</v>
      </c>
      <c r="I93" s="3" t="str">
        <f aca="false">IF(C93="FIN","n/a",IF(C93="UTIL/REIT",IF(AND(Data!U93&lt;=Rules!$B$16,Data!V93&gt;=Rules!$B$17),"PASS","FAIL"),IF(AND(Data!U93&lt;=Rules!$B$9,Data!V93&gt;=Rules!$B$10),"PASS","FAIL")))</f>
        <v>FAIL</v>
      </c>
      <c r="J93" s="3" t="str">
        <f aca="false">IF(AND(ISNUMBER(Data!J93),ISNUMBER(Data!K93)),IF(AND(Data!J93&gt;=Rules!$B$11,Data!K93&gt;=Rules!$B$12),"PASS","FAIL"),"FAIL")</f>
        <v>PASS</v>
      </c>
      <c r="K93" s="3" t="str">
        <f aca="false">IF(AND(ISNUMBER(Data!W93),ISNUMBER(Data!X93)),IF(AND(Data!W93&lt;=Rules!$B$13,Data!X93&lt;=Rules!$B$14),"PASS","FAIL"),"FAIL")</f>
        <v>FAIL</v>
      </c>
      <c r="L93" s="4" t="str">
        <f aca="false">IF(F93="FAIL","רווחיות; ","")&amp;IF(G93="FAIL","תזרים; ","")&amp;IF(H93="FAIL","תשואה על ההון; ","")&amp;IF(I93="FAIL","מאזן; ","")&amp;IF(J93="FAIL","צמיחה; ","")&amp;IF(K93="FAIL","דילול; ","")</f>
        <v>רווחיות; תשואה על ההון; מאזן; דילול; </v>
      </c>
      <c r="M93" s="4" t="s">
        <v>26</v>
      </c>
      <c r="N93" s="5" t="n">
        <f aca="false">IF(M93="EXTREME",Rules!$B$23,IF(M93="HIGH",Rules!$B$22,Rules!$B$21))</f>
        <v>0.03</v>
      </c>
      <c r="O93" s="6" t="n">
        <v>9.11266153201637</v>
      </c>
      <c r="P93" s="4" t="s">
        <v>32</v>
      </c>
      <c r="Q93" s="4" t="s">
        <v>25</v>
      </c>
      <c r="R93" s="4" t="str">
        <f aca="false">IF(Q93="כן",P93,"לא רלוונטי (SMA200 יורד)")</f>
        <v>Q1</v>
      </c>
      <c r="S93" s="4" t="str">
        <f aca="false">IF(NOT(ISNUMBER(T93)),"n/a",IF(AND(T93&gt;Rules!$B$18,ISNUMBER(U93),U93&lt;Rules!$B$19),"יקרה",IF(T93&lt;Rules!$B$20,"זולה","הוגנת")))</f>
        <v>יקרה</v>
      </c>
      <c r="T93" s="7" t="n">
        <f aca="false">Data!AA93</f>
        <v>1.30351456501138</v>
      </c>
      <c r="U93" s="8" t="n">
        <f aca="false">Data!AC93</f>
        <v>0.0112926472339552</v>
      </c>
      <c r="V93" s="9" t="n">
        <v>0.0503</v>
      </c>
      <c r="W93" s="5" t="n">
        <v>-0.681</v>
      </c>
    </row>
    <row r="94" customFormat="false" ht="15" hidden="false" customHeight="false" outlineLevel="0" collapsed="false">
      <c r="A94" s="2" t="str">
        <f aca="false">Data!A94</f>
        <v>DE</v>
      </c>
      <c r="B94" s="2" t="str">
        <f aca="false">Data!B94</f>
        <v>Deere &amp; Co.</v>
      </c>
      <c r="C94" s="2" t="str">
        <f aca="false">Data!F94</f>
        <v>STD</v>
      </c>
      <c r="D94" s="3" t="str">
        <f aca="false">IF(E94=0,"CORE",IF(E94=1,"WATCH","NON-CORE"))</f>
        <v>NON-CORE</v>
      </c>
      <c r="E94" s="4" t="n">
        <f aca="false">COUNTIF(F94:K94,"FAIL")</f>
        <v>2</v>
      </c>
      <c r="F94" s="3" t="str">
        <f aca="false">IF(C94="FIN",IF(Data!M94=Data!H94,"PASS","FAIL"),IF(AND(ISNUMBER(Data!L94),Data!L94&gt;=Rules!$B$5,IF(Data!H94&lt;5,Data!M94=Data!H94,Data!M94&gt;=Rules!$B$6)),"PASS","FAIL"))</f>
        <v>PASS</v>
      </c>
      <c r="G94" s="3" t="str">
        <f aca="false">IF(C94="FIN","n/a",IF(C94="UTIL/REIT",IF(Data!Q94=Data!H94,"PASS","FAIL"),IF(AND(ISNUMBER(Data!N94),Data!N94&gt;0,IF(Data!H94&lt;5,Data!P94=Data!H94,Data!P94&gt;=Rules!$B$7)),"PASS","FAIL")))</f>
        <v>PASS</v>
      </c>
      <c r="H94" s="3" t="str">
        <f aca="false">IF(C94="FIN",IF(AND(ISNUMBER(Data!S94),Data!S94&gt;=Rules!$B$15),"PASS","FAIL"),IF(AND(ISNUMBER(Data!R94),Data!R94&gt;=Rules!$B$8),"PASS","FAIL"))</f>
        <v>PASS</v>
      </c>
      <c r="I94" s="3" t="str">
        <f aca="false">IF(C94="FIN","n/a",IF(C94="UTIL/REIT",IF(AND(Data!U94&lt;=Rules!$B$16,Data!V94&gt;=Rules!$B$17),"PASS","FAIL"),IF(AND(Data!U94&lt;=Rules!$B$9,Data!V94&gt;=Rules!$B$10),"PASS","FAIL")))</f>
        <v>FAIL</v>
      </c>
      <c r="J94" s="3" t="str">
        <f aca="false">IF(AND(ISNUMBER(Data!J94),ISNUMBER(Data!K94)),IF(AND(Data!J94&gt;=Rules!$B$11,Data!K94&gt;=Rules!$B$12),"PASS","FAIL"),"FAIL")</f>
        <v>FAIL</v>
      </c>
      <c r="K94" s="3" t="str">
        <f aca="false">IF(AND(ISNUMBER(Data!W94),ISNUMBER(Data!X94)),IF(AND(Data!W94&lt;=Rules!$B$13,Data!X94&lt;=Rules!$B$14),"PASS","FAIL"),"FAIL")</f>
        <v>PASS</v>
      </c>
      <c r="L94" s="4" t="str">
        <f aca="false">IF(F94="FAIL","רווחיות; ","")&amp;IF(G94="FAIL","תזרים; ","")&amp;IF(H94="FAIL","תשואה על ההון; ","")&amp;IF(I94="FAIL","מאזן; ","")&amp;IF(J94="FAIL","צמיחה; ","")&amp;IF(K94="FAIL","דילול; ","")</f>
        <v>מאזן; צמיחה; </v>
      </c>
      <c r="M94" s="4" t="s">
        <v>29</v>
      </c>
      <c r="N94" s="5" t="n">
        <f aca="false">IF(M94="EXTREME",Rules!$B$23,IF(M94="HIGH",Rules!$B$22,Rules!$B$21))</f>
        <v>0.1</v>
      </c>
      <c r="O94" s="6" t="n">
        <v>22.4875219657003</v>
      </c>
      <c r="P94" s="4" t="s">
        <v>32</v>
      </c>
      <c r="Q94" s="4" t="s">
        <v>25</v>
      </c>
      <c r="R94" s="4" t="str">
        <f aca="false">IF(Q94="כן",P94,"לא רלוונטי (SMA200 יורד)")</f>
        <v>Q1</v>
      </c>
      <c r="S94" s="4" t="str">
        <f aca="false">IF(NOT(ISNUMBER(T94)),"n/a",IF(AND(T94&gt;Rules!$B$18,ISNUMBER(U94),U94&lt;Rules!$B$19),"יקרה",IF(T94&lt;Rules!$B$20,"זולה","הוגנת")))</f>
        <v>הוגנת</v>
      </c>
      <c r="T94" s="7" t="n">
        <f aca="false">Data!AA94</f>
        <v>2.09499763100901</v>
      </c>
      <c r="U94" s="8" t="n">
        <f aca="false">Data!AC94</f>
        <v>0.0224081687771821</v>
      </c>
      <c r="V94" s="9" t="n">
        <v>0.0259</v>
      </c>
      <c r="W94" s="5" t="n">
        <v>-0.3407</v>
      </c>
    </row>
    <row r="95" customFormat="false" ht="15" hidden="false" customHeight="false" outlineLevel="0" collapsed="false">
      <c r="A95" s="2" t="str">
        <f aca="false">Data!A95</f>
        <v>ELV</v>
      </c>
      <c r="B95" s="2" t="str">
        <f aca="false">Data!B95</f>
        <v>Elevance Health Inc.</v>
      </c>
      <c r="C95" s="2" t="str">
        <f aca="false">Data!F95</f>
        <v>STD</v>
      </c>
      <c r="D95" s="3" t="str">
        <f aca="false">IF(E95=0,"CORE",IF(E95=1,"WATCH","NON-CORE"))</f>
        <v>NON-CORE</v>
      </c>
      <c r="E95" s="4" t="n">
        <f aca="false">COUNTIF(F95:K95,"FAIL")</f>
        <v>2</v>
      </c>
      <c r="F95" s="3" t="str">
        <f aca="false">IF(C95="FIN",IF(Data!M95=Data!H95,"PASS","FAIL"),IF(AND(ISNUMBER(Data!L95),Data!L95&gt;=Rules!$B$5,IF(Data!H95&lt;5,Data!M95=Data!H95,Data!M95&gt;=Rules!$B$6)),"PASS","FAIL"))</f>
        <v>FAIL</v>
      </c>
      <c r="G95" s="3" t="str">
        <f aca="false">IF(C95="FIN","n/a",IF(C95="UTIL/REIT",IF(Data!Q95=Data!H95,"PASS","FAIL"),IF(AND(ISNUMBER(Data!N95),Data!N95&gt;0,IF(Data!H95&lt;5,Data!P95=Data!H95,Data!P95&gt;=Rules!$B$7)),"PASS","FAIL")))</f>
        <v>PASS</v>
      </c>
      <c r="H95" s="3" t="str">
        <f aca="false">IF(C95="FIN",IF(AND(ISNUMBER(Data!S95),Data!S95&gt;=Rules!$B$15),"PASS","FAIL"),IF(AND(ISNUMBER(Data!R95),Data!R95&gt;=Rules!$B$8),"PASS","FAIL"))</f>
        <v>FAIL</v>
      </c>
      <c r="I95" s="3" t="str">
        <f aca="false">IF(C95="FIN","n/a",IF(C95="UTIL/REIT",IF(AND(Data!U95&lt;=Rules!$B$16,Data!V95&gt;=Rules!$B$17),"PASS","FAIL"),IF(AND(Data!U95&lt;=Rules!$B$9,Data!V95&gt;=Rules!$B$10),"PASS","FAIL")))</f>
        <v>PASS</v>
      </c>
      <c r="J95" s="3" t="str">
        <f aca="false">IF(AND(ISNUMBER(Data!J95),ISNUMBER(Data!K95)),IF(AND(Data!J95&gt;=Rules!$B$11,Data!K95&gt;=Rules!$B$12),"PASS","FAIL"),"FAIL")</f>
        <v>PASS</v>
      </c>
      <c r="K95" s="3" t="str">
        <f aca="false">IF(AND(ISNUMBER(Data!W95),ISNUMBER(Data!X95)),IF(AND(Data!W95&lt;=Rules!$B$13,Data!X95&lt;=Rules!$B$14),"PASS","FAIL"),"FAIL")</f>
        <v>PASS</v>
      </c>
      <c r="L95" s="4" t="str">
        <f aca="false">IF(F95="FAIL","רווחיות; ","")&amp;IF(G95="FAIL","תזרים; ","")&amp;IF(H95="FAIL","תשואה על ההון; ","")&amp;IF(I95="FAIL","מאזן; ","")&amp;IF(J95="FAIL","צמיחה; ","")&amp;IF(K95="FAIL","דילול; ","")</f>
        <v>רווחיות; תשואה על ההון; </v>
      </c>
      <c r="M95" s="4" t="s">
        <v>23</v>
      </c>
      <c r="N95" s="5" t="n">
        <f aca="false">IF(M95="EXTREME",Rules!$B$23,IF(M95="HIGH",Rules!$B$22,Rules!$B$21))</f>
        <v>0.06</v>
      </c>
      <c r="O95" s="6" t="n">
        <v>29.9861428893687</v>
      </c>
      <c r="P95" s="4" t="s">
        <v>24</v>
      </c>
      <c r="Q95" s="4" t="s">
        <v>25</v>
      </c>
      <c r="R95" s="4" t="str">
        <f aca="false">IF(Q95="כן",P95,"לא רלוונטי (SMA200 יורד)")</f>
        <v>Q2</v>
      </c>
      <c r="S95" s="4" t="str">
        <f aca="false">IF(NOT(ISNUMBER(T95)),"n/a",IF(AND(T95&gt;Rules!$B$18,ISNUMBER(U95),U95&lt;Rules!$B$19),"יקרה",IF(T95&lt;Rules!$B$20,"זולה","הוגנת")))</f>
        <v>הוגנת</v>
      </c>
      <c r="T95" s="7" t="n">
        <f aca="false">Data!AA95</f>
        <v>1.02805810837372</v>
      </c>
      <c r="U95" s="8" t="n">
        <f aca="false">Data!AC95</f>
        <v>0.0682900643957708</v>
      </c>
      <c r="V95" s="9" t="n">
        <v>0.0261</v>
      </c>
      <c r="W95" s="5" t="n">
        <v>-0.5118</v>
      </c>
    </row>
    <row r="96" customFormat="false" ht="15" hidden="false" customHeight="false" outlineLevel="0" collapsed="false">
      <c r="A96" s="2" t="str">
        <f aca="false">Data!A96</f>
        <v>FISV</v>
      </c>
      <c r="B96" s="2" t="str">
        <f aca="false">Data!B96</f>
        <v>Fiserv Inc.</v>
      </c>
      <c r="C96" s="2" t="str">
        <f aca="false">Data!F96</f>
        <v>STD</v>
      </c>
      <c r="D96" s="3" t="str">
        <f aca="false">IF(E96=0,"CORE",IF(E96=1,"WATCH","NON-CORE"))</f>
        <v>NON-CORE</v>
      </c>
      <c r="E96" s="4" t="n">
        <f aca="false">COUNTIF(F96:K96,"FAIL")</f>
        <v>2</v>
      </c>
      <c r="F96" s="3" t="str">
        <f aca="false">IF(C96="FIN",IF(Data!M96=Data!H96,"PASS","FAIL"),IF(AND(ISNUMBER(Data!L96),Data!L96&gt;=Rules!$B$5,IF(Data!H96&lt;5,Data!M96=Data!H96,Data!M96&gt;=Rules!$B$6)),"PASS","FAIL"))</f>
        <v>PASS</v>
      </c>
      <c r="G96" s="3" t="str">
        <f aca="false">IF(C96="FIN","n/a",IF(C96="UTIL/REIT",IF(Data!Q96=Data!H96,"PASS","FAIL"),IF(AND(ISNUMBER(Data!N96),Data!N96&gt;0,IF(Data!H96&lt;5,Data!P96=Data!H96,Data!P96&gt;=Rules!$B$7)),"PASS","FAIL")))</f>
        <v>PASS</v>
      </c>
      <c r="H96" s="3" t="str">
        <f aca="false">IF(C96="FIN",IF(AND(ISNUMBER(Data!S96),Data!S96&gt;=Rules!$B$15),"PASS","FAIL"),IF(AND(ISNUMBER(Data!R96),Data!R96&gt;=Rules!$B$8),"PASS","FAIL"))</f>
        <v>FAIL</v>
      </c>
      <c r="I96" s="3" t="str">
        <f aca="false">IF(C96="FIN","n/a",IF(C96="UTIL/REIT",IF(AND(Data!U96&lt;=Rules!$B$16,Data!V96&gt;=Rules!$B$17),"PASS","FAIL"),IF(AND(Data!U96&lt;=Rules!$B$9,Data!V96&gt;=Rules!$B$10),"PASS","FAIL")))</f>
        <v>FAIL</v>
      </c>
      <c r="J96" s="3" t="str">
        <f aca="false">IF(AND(ISNUMBER(Data!J96),ISNUMBER(Data!K96)),IF(AND(Data!J96&gt;=Rules!$B$11,Data!K96&gt;=Rules!$B$12),"PASS","FAIL"),"FAIL")</f>
        <v>PASS</v>
      </c>
      <c r="K96" s="3" t="str">
        <f aca="false">IF(AND(ISNUMBER(Data!W96),ISNUMBER(Data!X96)),IF(AND(Data!W96&lt;=Rules!$B$13,Data!X96&lt;=Rules!$B$14),"PASS","FAIL"),"FAIL")</f>
        <v>PASS</v>
      </c>
      <c r="L96" s="4" t="str">
        <f aca="false">IF(F96="FAIL","רווחיות; ","")&amp;IF(G96="FAIL","תזרים; ","")&amp;IF(H96="FAIL","תשואה על ההון; ","")&amp;IF(I96="FAIL","מאזן; ","")&amp;IF(J96="FAIL","צמיחה; ","")&amp;IF(K96="FAIL","דילול; ","")</f>
        <v>תשואה על ההון; מאזן; </v>
      </c>
      <c r="M96" s="4" t="s">
        <v>26</v>
      </c>
      <c r="N96" s="5" t="n">
        <f aca="false">IF(M96="EXTREME",Rules!$B$23,IF(M96="HIGH",Rules!$B$22,Rules!$B$21))</f>
        <v>0.03</v>
      </c>
      <c r="O96" s="6" t="n">
        <v>78.857243325934</v>
      </c>
      <c r="P96" s="4" t="s">
        <v>30</v>
      </c>
      <c r="Q96" s="4" t="s">
        <v>28</v>
      </c>
      <c r="R96" s="4" t="str">
        <f aca="false">IF(Q96="כן",P96,"לא רלוונטי (SMA200 יורד)")</f>
        <v>לא רלוונטי (SMA200 יורד)</v>
      </c>
      <c r="S96" s="4" t="str">
        <f aca="false">IF(NOT(ISNUMBER(T96)),"n/a",IF(AND(T96&gt;Rules!$B$18,ISNUMBER(U96),U96&lt;Rules!$B$19),"יקרה",IF(T96&lt;Rules!$B$20,"זולה","הוגנת")))</f>
        <v>זולה</v>
      </c>
      <c r="T96" s="7" t="n">
        <f aca="false">Data!AA96</f>
        <v>0.4627621238891</v>
      </c>
      <c r="U96" s="8" t="n">
        <f aca="false">Data!AC96</f>
        <v>0.206877756381897</v>
      </c>
      <c r="V96" s="9" t="n">
        <v>0.0336</v>
      </c>
      <c r="W96" s="5" t="n">
        <v>-0.81</v>
      </c>
    </row>
    <row r="97" customFormat="false" ht="15" hidden="false" customHeight="false" outlineLevel="0" collapsed="false">
      <c r="A97" s="2" t="str">
        <f aca="false">Data!A97</f>
        <v>HON</v>
      </c>
      <c r="B97" s="2" t="str">
        <f aca="false">Data!B97</f>
        <v>Honeywell International Inc.</v>
      </c>
      <c r="C97" s="2" t="str">
        <f aca="false">Data!F97</f>
        <v>STD</v>
      </c>
      <c r="D97" s="3" t="str">
        <f aca="false">IF(E97=0,"CORE",IF(E97=1,"WATCH","NON-CORE"))</f>
        <v>NON-CORE</v>
      </c>
      <c r="E97" s="4" t="n">
        <f aca="false">COUNTIF(F97:K97,"FAIL")</f>
        <v>2</v>
      </c>
      <c r="F97" s="3" t="str">
        <f aca="false">IF(C97="FIN",IF(Data!M97=Data!H97,"PASS","FAIL"),IF(AND(ISNUMBER(Data!L97),Data!L97&gt;=Rules!$B$5,IF(Data!H97&lt;5,Data!M97=Data!H97,Data!M97&gt;=Rules!$B$6)),"PASS","FAIL"))</f>
        <v>PASS</v>
      </c>
      <c r="G97" s="3" t="str">
        <f aca="false">IF(C97="FIN","n/a",IF(C97="UTIL/REIT",IF(Data!Q97=Data!H97,"PASS","FAIL"),IF(AND(ISNUMBER(Data!N97),Data!N97&gt;0,IF(Data!H97&lt;5,Data!P97=Data!H97,Data!P97&gt;=Rules!$B$7)),"PASS","FAIL")))</f>
        <v>PASS</v>
      </c>
      <c r="H97" s="3" t="str">
        <f aca="false">IF(C97="FIN",IF(AND(ISNUMBER(Data!S97),Data!S97&gt;=Rules!$B$15),"PASS","FAIL"),IF(AND(ISNUMBER(Data!R97),Data!R97&gt;=Rules!$B$8),"PASS","FAIL"))</f>
        <v>PASS</v>
      </c>
      <c r="I97" s="3" t="str">
        <f aca="false">IF(C97="FIN","n/a",IF(C97="UTIL/REIT",IF(AND(Data!U97&lt;=Rules!$B$16,Data!V97&gt;=Rules!$B$17),"PASS","FAIL"),IF(AND(Data!U97&lt;=Rules!$B$9,Data!V97&gt;=Rules!$B$10),"PASS","FAIL")))</f>
        <v>FAIL</v>
      </c>
      <c r="J97" s="3" t="str">
        <f aca="false">IF(AND(ISNUMBER(Data!J97),ISNUMBER(Data!K97)),IF(AND(Data!J97&gt;=Rules!$B$11,Data!K97&gt;=Rules!$B$12),"PASS","FAIL"),"FAIL")</f>
        <v>FAIL</v>
      </c>
      <c r="K97" s="3" t="str">
        <f aca="false">IF(AND(ISNUMBER(Data!W97),ISNUMBER(Data!X97)),IF(AND(Data!W97&lt;=Rules!$B$13,Data!X97&lt;=Rules!$B$14),"PASS","FAIL"),"FAIL")</f>
        <v>PASS</v>
      </c>
      <c r="L97" s="4" t="str">
        <f aca="false">IF(F97="FAIL","רווחיות; ","")&amp;IF(G97="FAIL","תזרים; ","")&amp;IF(H97="FAIL","תשואה על ההון; ","")&amp;IF(I97="FAIL","מאזן; ","")&amp;IF(J97="FAIL","צמיחה; ","")&amp;IF(K97="FAIL","דילול; ","")</f>
        <v>מאזן; צמיחה; </v>
      </c>
      <c r="M97" s="4" t="s">
        <v>29</v>
      </c>
      <c r="N97" s="5" t="n">
        <f aca="false">IF(M97="EXTREME",Rules!$B$23,IF(M97="HIGH",Rules!$B$22,Rules!$B$21))</f>
        <v>0.1</v>
      </c>
      <c r="O97" s="6" t="n">
        <v>85.3169600797684</v>
      </c>
      <c r="P97" s="4" t="s">
        <v>30</v>
      </c>
      <c r="Q97" s="4" t="s">
        <v>25</v>
      </c>
      <c r="R97" s="4" t="str">
        <f aca="false">IF(Q97="כן",P97,"לא רלוונטי (SMA200 יורד)")</f>
        <v>Q4</v>
      </c>
      <c r="S97" s="4" t="str">
        <f aca="false">IF(NOT(ISNUMBER(T97)),"n/a",IF(AND(T97&gt;Rules!$B$18,ISNUMBER(U97),U97&lt;Rules!$B$19),"יקרה",IF(T97&lt;Rules!$B$20,"זולה","הוגנת")))</f>
        <v>זולה</v>
      </c>
      <c r="T97" s="7" t="n">
        <f aca="false">Data!AA97</f>
        <v>0.625079098951931</v>
      </c>
      <c r="U97" s="8" t="n">
        <f aca="false">Data!AC97</f>
        <v>0.0627088434124995</v>
      </c>
      <c r="V97" s="9" t="n">
        <v>0.023</v>
      </c>
      <c r="W97" s="5" t="n">
        <v>-0.2669</v>
      </c>
    </row>
    <row r="98" customFormat="false" ht="15" hidden="false" customHeight="false" outlineLevel="0" collapsed="false">
      <c r="A98" s="2" t="str">
        <f aca="false">Data!A98</f>
        <v>INTC</v>
      </c>
      <c r="B98" s="2" t="str">
        <f aca="false">Data!B98</f>
        <v>Intel Corp.</v>
      </c>
      <c r="C98" s="2" t="str">
        <f aca="false">Data!F98</f>
        <v>STD</v>
      </c>
      <c r="D98" s="3" t="str">
        <f aca="false">IF(E98=0,"CORE",IF(E98=1,"WATCH","NON-CORE"))</f>
        <v>NON-CORE</v>
      </c>
      <c r="E98" s="4" t="n">
        <f aca="false">COUNTIF(F98:K98,"FAIL")</f>
        <v>6</v>
      </c>
      <c r="F98" s="3" t="str">
        <f aca="false">IF(C98="FIN",IF(Data!M98=Data!H98,"PASS","FAIL"),IF(AND(ISNUMBER(Data!L98),Data!L98&gt;=Rules!$B$5,IF(Data!H98&lt;5,Data!M98=Data!H98,Data!M98&gt;=Rules!$B$6)),"PASS","FAIL"))</f>
        <v>FAIL</v>
      </c>
      <c r="G98" s="3" t="str">
        <f aca="false">IF(C98="FIN","n/a",IF(C98="UTIL/REIT",IF(Data!Q98=Data!H98,"PASS","FAIL"),IF(AND(ISNUMBER(Data!N98),Data!N98&gt;0,IF(Data!H98&lt;5,Data!P98=Data!H98,Data!P98&gt;=Rules!$B$7)),"PASS","FAIL")))</f>
        <v>FAIL</v>
      </c>
      <c r="H98" s="3" t="str">
        <f aca="false">IF(C98="FIN",IF(AND(ISNUMBER(Data!S98),Data!S98&gt;=Rules!$B$15),"PASS","FAIL"),IF(AND(ISNUMBER(Data!R98),Data!R98&gt;=Rules!$B$8),"PASS","FAIL"))</f>
        <v>FAIL</v>
      </c>
      <c r="I98" s="3" t="str">
        <f aca="false">IF(C98="FIN","n/a",IF(C98="UTIL/REIT",IF(AND(Data!U98&lt;=Rules!$B$16,Data!V98&gt;=Rules!$B$17),"PASS","FAIL"),IF(AND(Data!U98&lt;=Rules!$B$9,Data!V98&gt;=Rules!$B$10),"PASS","FAIL")))</f>
        <v>FAIL</v>
      </c>
      <c r="J98" s="3" t="str">
        <f aca="false">IF(AND(ISNUMBER(Data!J98),ISNUMBER(Data!K98)),IF(AND(Data!J98&gt;=Rules!$B$11,Data!K98&gt;=Rules!$B$12),"PASS","FAIL"),"FAIL")</f>
        <v>FAIL</v>
      </c>
      <c r="K98" s="3" t="str">
        <f aca="false">IF(AND(ISNUMBER(Data!W98),ISNUMBER(Data!X98)),IF(AND(Data!W98&lt;=Rules!$B$13,Data!X98&lt;=Rules!$B$14),"PASS","FAIL"),"FAIL")</f>
        <v>FAIL</v>
      </c>
      <c r="L98" s="4" t="str">
        <f aca="false">IF(F98="FAIL","רווחיות; ","")&amp;IF(G98="FAIL","תזרים; ","")&amp;IF(H98="FAIL","תשואה על ההון; ","")&amp;IF(I98="FAIL","מאזן; ","")&amp;IF(J98="FAIL","צמיחה; ","")&amp;IF(K98="FAIL","דילול; ","")</f>
        <v>רווחיות; תזרים; תשואה על ההון; מאזן; צמיחה; דילול; </v>
      </c>
      <c r="M98" s="4" t="s">
        <v>26</v>
      </c>
      <c r="N98" s="5" t="n">
        <f aca="false">IF(M98="EXTREME",Rules!$B$23,IF(M98="HIGH",Rules!$B$22,Rules!$B$21))</f>
        <v>0.03</v>
      </c>
      <c r="O98" s="6" t="n">
        <v>23.1073006689705</v>
      </c>
      <c r="P98" s="4" t="s">
        <v>32</v>
      </c>
      <c r="Q98" s="4" t="s">
        <v>25</v>
      </c>
      <c r="R98" s="4" t="str">
        <f aca="false">IF(Q98="כן",P98,"לא רלוונטי (SMA200 יורד)")</f>
        <v>Q1</v>
      </c>
      <c r="S98" s="4" t="str">
        <f aca="false">IF(NOT(ISNUMBER(T98)),"n/a",IF(AND(T98&gt;Rules!$B$18,ISNUMBER(U98),U98&lt;Rules!$B$19),"יקרה",IF(T98&lt;Rules!$B$20,"זולה","הוגנת")))</f>
        <v>n/a</v>
      </c>
      <c r="T98" s="7" t="str">
        <f aca="false">Data!AA98</f>
        <v/>
      </c>
      <c r="U98" s="8" t="n">
        <f aca="false">Data!AC98</f>
        <v>0.0055924818997334</v>
      </c>
      <c r="V98" s="9" t="n">
        <v>0.0524</v>
      </c>
      <c r="W98" s="5" t="n">
        <v>-0.6759</v>
      </c>
    </row>
    <row r="99" customFormat="false" ht="15" hidden="false" customHeight="false" outlineLevel="0" collapsed="false">
      <c r="A99" s="2" t="str">
        <f aca="false">Data!A99</f>
        <v>KKR</v>
      </c>
      <c r="B99" s="2" t="str">
        <f aca="false">Data!B99</f>
        <v>KKR &amp; Co. Inc.</v>
      </c>
      <c r="C99" s="2" t="str">
        <f aca="false">Data!F99</f>
        <v>FIN</v>
      </c>
      <c r="D99" s="3" t="str">
        <f aca="false">IF(E99=0,"CORE",IF(E99=1,"WATCH","NON-CORE"))</f>
        <v>NON-CORE</v>
      </c>
      <c r="E99" s="4" t="n">
        <f aca="false">COUNTIF(F99:K99,"FAIL")</f>
        <v>4</v>
      </c>
      <c r="F99" s="3" t="str">
        <f aca="false">IF(C99="FIN",IF(Data!M99=Data!H99,"PASS","FAIL"),IF(AND(ISNUMBER(Data!L99),Data!L99&gt;=Rules!$B$5,IF(Data!H99&lt;5,Data!M99=Data!H99,Data!M99&gt;=Rules!$B$6)),"PASS","FAIL"))</f>
        <v>FAIL</v>
      </c>
      <c r="G99" s="3" t="str">
        <f aca="false">IF(C99="FIN","n/a",IF(C99="UTIL/REIT",IF(Data!Q99=Data!H99,"PASS","FAIL"),IF(AND(ISNUMBER(Data!N99),Data!N99&gt;0,IF(Data!H99&lt;5,Data!P99=Data!H99,Data!P99&gt;=Rules!$B$7)),"PASS","FAIL")))</f>
        <v>n/a</v>
      </c>
      <c r="H99" s="3" t="str">
        <f aca="false">IF(C99="FIN",IF(AND(ISNUMBER(Data!S99),Data!S99&gt;=Rules!$B$15),"PASS","FAIL"),IF(AND(ISNUMBER(Data!R99),Data!R99&gt;=Rules!$B$8),"PASS","FAIL"))</f>
        <v>FAIL</v>
      </c>
      <c r="I99" s="3" t="str">
        <f aca="false">IF(C99="FIN","n/a",IF(C99="UTIL/REIT",IF(AND(Data!U99&lt;=Rules!$B$16,Data!V99&gt;=Rules!$B$17),"PASS","FAIL"),IF(AND(Data!U99&lt;=Rules!$B$9,Data!V99&gt;=Rules!$B$10),"PASS","FAIL")))</f>
        <v>n/a</v>
      </c>
      <c r="J99" s="3" t="str">
        <f aca="false">IF(AND(ISNUMBER(Data!J99),ISNUMBER(Data!K99)),IF(AND(Data!J99&gt;=Rules!$B$11,Data!K99&gt;=Rules!$B$12),"PASS","FAIL"),"FAIL")</f>
        <v>FAIL</v>
      </c>
      <c r="K99" s="3" t="str">
        <f aca="false">IF(AND(ISNUMBER(Data!W99),ISNUMBER(Data!X99)),IF(AND(Data!W99&lt;=Rules!$B$13,Data!X99&lt;=Rules!$B$14),"PASS","FAIL"),"FAIL")</f>
        <v>FAIL</v>
      </c>
      <c r="L99" s="4" t="str">
        <f aca="false">IF(F99="FAIL","רווחיות; ","")&amp;IF(G99="FAIL","תזרים; ","")&amp;IF(H99="FAIL","תשואה על ההון; ","")&amp;IF(I99="FAIL","מאזן; ","")&amp;IF(J99="FAIL","צמיחה; ","")&amp;IF(K99="FAIL","דילול; ","")</f>
        <v>רווחיות; תשואה על ההון; צמיחה; דילול; </v>
      </c>
      <c r="M99" s="4" t="s">
        <v>23</v>
      </c>
      <c r="N99" s="5" t="n">
        <f aca="false">IF(M99="EXTREME",Rules!$B$23,IF(M99="HIGH",Rules!$B$22,Rules!$B$21))</f>
        <v>0.06</v>
      </c>
      <c r="O99" s="6" t="n">
        <v>83.6716888424668</v>
      </c>
      <c r="P99" s="4" t="s">
        <v>30</v>
      </c>
      <c r="Q99" s="4" t="s">
        <v>28</v>
      </c>
      <c r="R99" s="4" t="str">
        <f aca="false">IF(Q99="כן",P99,"לא רלוונטי (SMA200 יורד)")</f>
        <v>לא רלוונטי (SMA200 יורד)</v>
      </c>
      <c r="S99" s="4" t="str">
        <f aca="false">IF(NOT(ISNUMBER(T99)),"n/a",IF(AND(T99&gt;Rules!$B$18,ISNUMBER(U99),U99&lt;Rules!$B$19),"יקרה",IF(T99&lt;Rules!$B$20,"זולה","הוגנת")))</f>
        <v>הוגנת</v>
      </c>
      <c r="T99" s="7" t="n">
        <f aca="false">Data!AA99</f>
        <v>0.881240851112916</v>
      </c>
      <c r="U99" s="8" t="n">
        <f aca="false">Data!AC99</f>
        <v>0.0283161258871956</v>
      </c>
      <c r="V99" s="9" t="n">
        <v>0.0321</v>
      </c>
      <c r="W99" s="5" t="n">
        <v>-0.4979</v>
      </c>
    </row>
    <row r="100" customFormat="false" ht="15" hidden="false" customHeight="false" outlineLevel="0" collapsed="false">
      <c r="A100" s="2" t="str">
        <f aca="false">Data!A100</f>
        <v>LOW</v>
      </c>
      <c r="B100" s="2" t="str">
        <f aca="false">Data!B100</f>
        <v>Lowe's Companies Inc.</v>
      </c>
      <c r="C100" s="2" t="str">
        <f aca="false">Data!F100</f>
        <v>STD</v>
      </c>
      <c r="D100" s="3" t="str">
        <f aca="false">IF(E100=0,"CORE",IF(E100=1,"WATCH","NON-CORE"))</f>
        <v>NON-CORE</v>
      </c>
      <c r="E100" s="4" t="n">
        <f aca="false">COUNTIF(F100:K100,"FAIL")</f>
        <v>2</v>
      </c>
      <c r="F100" s="3" t="str">
        <f aca="false">IF(C100="FIN",IF(Data!M100=Data!H100,"PASS","FAIL"),IF(AND(ISNUMBER(Data!L100),Data!L100&gt;=Rules!$B$5,IF(Data!H100&lt;5,Data!M100=Data!H100,Data!M100&gt;=Rules!$B$6)),"PASS","FAIL"))</f>
        <v>PASS</v>
      </c>
      <c r="G100" s="3" t="str">
        <f aca="false">IF(C100="FIN","n/a",IF(C100="UTIL/REIT",IF(Data!Q100=Data!H100,"PASS","FAIL"),IF(AND(ISNUMBER(Data!N100),Data!N100&gt;0,IF(Data!H100&lt;5,Data!P100=Data!H100,Data!P100&gt;=Rules!$B$7)),"PASS","FAIL")))</f>
        <v>PASS</v>
      </c>
      <c r="H100" s="3" t="str">
        <f aca="false">IF(C100="FIN",IF(AND(ISNUMBER(Data!S100),Data!S100&gt;=Rules!$B$15),"PASS","FAIL"),IF(AND(ISNUMBER(Data!R100),Data!R100&gt;=Rules!$B$8),"PASS","FAIL"))</f>
        <v>PASS</v>
      </c>
      <c r="I100" s="3" t="str">
        <f aca="false">IF(C100="FIN","n/a",IF(C100="UTIL/REIT",IF(AND(Data!U100&lt;=Rules!$B$16,Data!V100&gt;=Rules!$B$17),"PASS","FAIL"),IF(AND(Data!U100&lt;=Rules!$B$9,Data!V100&gt;=Rules!$B$10),"PASS","FAIL")))</f>
        <v>FAIL</v>
      </c>
      <c r="J100" s="3" t="str">
        <f aca="false">IF(AND(ISNUMBER(Data!J100),ISNUMBER(Data!K100)),IF(AND(Data!J100&gt;=Rules!$B$11,Data!K100&gt;=Rules!$B$12),"PASS","FAIL"),"FAIL")</f>
        <v>FAIL</v>
      </c>
      <c r="K100" s="3" t="str">
        <f aca="false">IF(AND(ISNUMBER(Data!W100),ISNUMBER(Data!X100)),IF(AND(Data!W100&lt;=Rules!$B$13,Data!X100&lt;=Rules!$B$14),"PASS","FAIL"),"FAIL")</f>
        <v>PASS</v>
      </c>
      <c r="L100" s="4" t="str">
        <f aca="false">IF(F100="FAIL","רווחיות; ","")&amp;IF(G100="FAIL","תזרים; ","")&amp;IF(H100="FAIL","תשואה על ההון; ","")&amp;IF(I100="FAIL","מאזן; ","")&amp;IF(J100="FAIL","צמיחה; ","")&amp;IF(K100="FAIL","דילול; ","")</f>
        <v>מאזן; צמיחה; </v>
      </c>
      <c r="M100" s="4" t="s">
        <v>29</v>
      </c>
      <c r="N100" s="5" t="n">
        <f aca="false">IF(M100="EXTREME",Rules!$B$23,IF(M100="HIGH",Rules!$B$22,Rules!$B$21))</f>
        <v>0.1</v>
      </c>
      <c r="O100" s="6" t="n">
        <v>100</v>
      </c>
      <c r="P100" s="4" t="s">
        <v>30</v>
      </c>
      <c r="Q100" s="4" t="s">
        <v>28</v>
      </c>
      <c r="R100" s="4" t="str">
        <f aca="false">IF(Q100="כן",P100,"לא רלוונטי (SMA200 יורד)")</f>
        <v>לא רלוונטי (SMA200 יורד)</v>
      </c>
      <c r="S100" s="4" t="str">
        <f aca="false">IF(NOT(ISNUMBER(T100)),"n/a",IF(AND(T100&gt;Rules!$B$18,ISNUMBER(U100),U100&lt;Rules!$B$19),"יקרה",IF(T100&lt;Rules!$B$20,"זולה","הוגנת")))</f>
        <v>זולה</v>
      </c>
      <c r="T100" s="7" t="n">
        <f aca="false">Data!AA100</f>
        <v>0.767664092664092</v>
      </c>
      <c r="U100" s="8" t="n">
        <f aca="false">Data!AC100</f>
        <v>0.0672750910637819</v>
      </c>
      <c r="V100" s="9" t="n">
        <v>0.0229</v>
      </c>
      <c r="W100" s="5" t="n">
        <v>-0.359</v>
      </c>
    </row>
    <row r="101" customFormat="false" ht="15" hidden="false" customHeight="false" outlineLevel="0" collapsed="false">
      <c r="A101" s="2" t="str">
        <f aca="false">Data!A101</f>
        <v>MDLZ</v>
      </c>
      <c r="B101" s="2" t="str">
        <f aca="false">Data!B101</f>
        <v>Mondelez International Inc.</v>
      </c>
      <c r="C101" s="2" t="str">
        <f aca="false">Data!F101</f>
        <v>STD</v>
      </c>
      <c r="D101" s="3" t="str">
        <f aca="false">IF(E101=0,"CORE",IF(E101=1,"WATCH","NON-CORE"))</f>
        <v>NON-CORE</v>
      </c>
      <c r="E101" s="4" t="n">
        <f aca="false">COUNTIF(F101:K101,"FAIL")</f>
        <v>3</v>
      </c>
      <c r="F101" s="3" t="str">
        <f aca="false">IF(C101="FIN",IF(Data!M101=Data!H101,"PASS","FAIL"),IF(AND(ISNUMBER(Data!L101),Data!L101&gt;=Rules!$B$5,IF(Data!H101&lt;5,Data!M101=Data!H101,Data!M101&gt;=Rules!$B$6)),"PASS","FAIL"))</f>
        <v>FAIL</v>
      </c>
      <c r="G101" s="3" t="str">
        <f aca="false">IF(C101="FIN","n/a",IF(C101="UTIL/REIT",IF(Data!Q101=Data!H101,"PASS","FAIL"),IF(AND(ISNUMBER(Data!N101),Data!N101&gt;0,IF(Data!H101&lt;5,Data!P101=Data!H101,Data!P101&gt;=Rules!$B$7)),"PASS","FAIL")))</f>
        <v>PASS</v>
      </c>
      <c r="H101" s="3" t="str">
        <f aca="false">IF(C101="FIN",IF(AND(ISNUMBER(Data!S101),Data!S101&gt;=Rules!$B$15),"PASS","FAIL"),IF(AND(ISNUMBER(Data!R101),Data!R101&gt;=Rules!$B$8),"PASS","FAIL"))</f>
        <v>FAIL</v>
      </c>
      <c r="I101" s="3" t="str">
        <f aca="false">IF(C101="FIN","n/a",IF(C101="UTIL/REIT",IF(AND(Data!U101&lt;=Rules!$B$16,Data!V101&gt;=Rules!$B$17),"PASS","FAIL"),IF(AND(Data!U101&lt;=Rules!$B$9,Data!V101&gt;=Rules!$B$10),"PASS","FAIL")))</f>
        <v>FAIL</v>
      </c>
      <c r="J101" s="3" t="str">
        <f aca="false">IF(AND(ISNUMBER(Data!J101),ISNUMBER(Data!K101)),IF(AND(Data!J101&gt;=Rules!$B$11,Data!K101&gt;=Rules!$B$12),"PASS","FAIL"),"FAIL")</f>
        <v>PASS</v>
      </c>
      <c r="K101" s="3" t="str">
        <f aca="false">IF(AND(ISNUMBER(Data!W101),ISNUMBER(Data!X101)),IF(AND(Data!W101&lt;=Rules!$B$13,Data!X101&lt;=Rules!$B$14),"PASS","FAIL"),"FAIL")</f>
        <v>PASS</v>
      </c>
      <c r="L101" s="4" t="str">
        <f aca="false">IF(F101="FAIL","רווחיות; ","")&amp;IF(G101="FAIL","תזרים; ","")&amp;IF(H101="FAIL","תשואה על ההון; ","")&amp;IF(I101="FAIL","מאזן; ","")&amp;IF(J101="FAIL","צמיחה; ","")&amp;IF(K101="FAIL","דילול; ","")</f>
        <v>רווחיות; תשואה על ההון; מאזן; </v>
      </c>
      <c r="M101" s="4" t="s">
        <v>29</v>
      </c>
      <c r="N101" s="5" t="n">
        <f aca="false">IF(M101="EXTREME",Rules!$B$23,IF(M101="HIGH",Rules!$B$22,Rules!$B$21))</f>
        <v>0.1</v>
      </c>
      <c r="O101" s="6" t="n">
        <v>58.6088010661066</v>
      </c>
      <c r="P101" s="4" t="s">
        <v>27</v>
      </c>
      <c r="Q101" s="4" t="s">
        <v>25</v>
      </c>
      <c r="R101" s="4" t="str">
        <f aca="false">IF(Q101="כן",P101,"לא רלוונטי (SMA200 יורד)")</f>
        <v>Q3</v>
      </c>
      <c r="S101" s="4" t="str">
        <f aca="false">IF(NOT(ISNUMBER(T101)),"n/a",IF(AND(T101&gt;Rules!$B$18,ISNUMBER(U101),U101&lt;Rules!$B$19),"יקרה",IF(T101&lt;Rules!$B$20,"זולה","הוגנת")))</f>
        <v>הוגנת</v>
      </c>
      <c r="T101" s="7" t="n">
        <f aca="false">Data!AA101</f>
        <v>1.04144359825064</v>
      </c>
      <c r="U101" s="8" t="n">
        <f aca="false">Data!AC101</f>
        <v>0.0393764670916657</v>
      </c>
      <c r="V101" s="9" t="n">
        <v>0.0198</v>
      </c>
      <c r="W101" s="5" t="n">
        <v>-0.3426</v>
      </c>
    </row>
    <row r="102" customFormat="false" ht="15" hidden="false" customHeight="false" outlineLevel="0" collapsed="false">
      <c r="A102" s="2" t="str">
        <f aca="false">Data!A102</f>
        <v>MRVL</v>
      </c>
      <c r="B102" s="2" t="str">
        <f aca="false">Data!B102</f>
        <v>Marvell Technology Inc.</v>
      </c>
      <c r="C102" s="2" t="str">
        <f aca="false">Data!F102</f>
        <v>STD</v>
      </c>
      <c r="D102" s="3" t="str">
        <f aca="false">IF(E102=0,"CORE",IF(E102=1,"WATCH","NON-CORE"))</f>
        <v>NON-CORE</v>
      </c>
      <c r="E102" s="4" t="n">
        <f aca="false">COUNTIF(F102:K102,"FAIL")</f>
        <v>2</v>
      </c>
      <c r="F102" s="3" t="str">
        <f aca="false">IF(C102="FIN",IF(Data!M102=Data!H102,"PASS","FAIL"),IF(AND(ISNUMBER(Data!L102),Data!L102&gt;=Rules!$B$5,IF(Data!H102&lt;5,Data!M102=Data!H102,Data!M102&gt;=Rules!$B$6)),"PASS","FAIL"))</f>
        <v>FAIL</v>
      </c>
      <c r="G102" s="3" t="str">
        <f aca="false">IF(C102="FIN","n/a",IF(C102="UTIL/REIT",IF(Data!Q102=Data!H102,"PASS","FAIL"),IF(AND(ISNUMBER(Data!N102),Data!N102&gt;0,IF(Data!H102&lt;5,Data!P102=Data!H102,Data!P102&gt;=Rules!$B$7)),"PASS","FAIL")))</f>
        <v>PASS</v>
      </c>
      <c r="H102" s="3" t="str">
        <f aca="false">IF(C102="FIN",IF(AND(ISNUMBER(Data!S102),Data!S102&gt;=Rules!$B$15),"PASS","FAIL"),IF(AND(ISNUMBER(Data!R102),Data!R102&gt;=Rules!$B$8),"PASS","FAIL"))</f>
        <v>FAIL</v>
      </c>
      <c r="I102" s="3" t="str">
        <f aca="false">IF(C102="FIN","n/a",IF(C102="UTIL/REIT",IF(AND(Data!U102&lt;=Rules!$B$16,Data!V102&gt;=Rules!$B$17),"PASS","FAIL"),IF(AND(Data!U102&lt;=Rules!$B$9,Data!V102&gt;=Rules!$B$10),"PASS","FAIL")))</f>
        <v>PASS</v>
      </c>
      <c r="J102" s="3" t="str">
        <f aca="false">IF(AND(ISNUMBER(Data!J102),ISNUMBER(Data!K102)),IF(AND(Data!J102&gt;=Rules!$B$11,Data!K102&gt;=Rules!$B$12),"PASS","FAIL"),"FAIL")</f>
        <v>PASS</v>
      </c>
      <c r="K102" s="3" t="str">
        <f aca="false">IF(AND(ISNUMBER(Data!W102),ISNUMBER(Data!X102)),IF(AND(Data!W102&lt;=Rules!$B$13,Data!X102&lt;=Rules!$B$14),"PASS","FAIL"),"FAIL")</f>
        <v>PASS</v>
      </c>
      <c r="L102" s="4" t="str">
        <f aca="false">IF(F102="FAIL","רווחיות; ","")&amp;IF(G102="FAIL","תזרים; ","")&amp;IF(H102="FAIL","תשואה על ההון; ","")&amp;IF(I102="FAIL","מאזן; ","")&amp;IF(J102="FAIL","צמיחה; ","")&amp;IF(K102="FAIL","דילול; ","")</f>
        <v>רווחיות; תשואה על ההון; </v>
      </c>
      <c r="M102" s="4" t="s">
        <v>26</v>
      </c>
      <c r="N102" s="5" t="n">
        <f aca="false">IF(M102="EXTREME",Rules!$B$23,IF(M102="HIGH",Rules!$B$22,Rules!$B$21))</f>
        <v>0.03</v>
      </c>
      <c r="O102" s="6" t="n">
        <v>22.5737734751018</v>
      </c>
      <c r="P102" s="4" t="s">
        <v>32</v>
      </c>
      <c r="Q102" s="4" t="s">
        <v>25</v>
      </c>
      <c r="R102" s="4" t="str">
        <f aca="false">IF(Q102="כן",P102,"לא רלוונטי (SMA200 יורד)")</f>
        <v>Q1</v>
      </c>
      <c r="S102" s="4" t="str">
        <f aca="false">IF(NOT(ISNUMBER(T102)),"n/a",IF(AND(T102&gt;Rules!$B$18,ISNUMBER(U102),U102&lt;Rules!$B$19),"יקרה",IF(T102&lt;Rules!$B$20,"זולה","הוגנת")))</f>
        <v>יקרה</v>
      </c>
      <c r="T102" s="7" t="n">
        <f aca="false">Data!AA102</f>
        <v>3.42496351694051</v>
      </c>
      <c r="U102" s="8" t="n">
        <f aca="false">Data!AC102</f>
        <v>0.00743070679852793</v>
      </c>
      <c r="V102" s="9" t="n">
        <v>0.0564</v>
      </c>
      <c r="W102" s="5" t="n">
        <v>-0.6211</v>
      </c>
    </row>
    <row r="103" customFormat="false" ht="15" hidden="false" customHeight="false" outlineLevel="0" collapsed="false">
      <c r="A103" s="2" t="str">
        <f aca="false">Data!A103</f>
        <v>MSTR</v>
      </c>
      <c r="B103" s="2" t="str">
        <f aca="false">Data!B103</f>
        <v>Strategy Inc.</v>
      </c>
      <c r="C103" s="2" t="str">
        <f aca="false">Data!F103</f>
        <v>STD</v>
      </c>
      <c r="D103" s="3" t="str">
        <f aca="false">IF(E103=0,"CORE",IF(E103=1,"WATCH","NON-CORE"))</f>
        <v>NON-CORE</v>
      </c>
      <c r="E103" s="4" t="n">
        <f aca="false">COUNTIF(F103:K103,"FAIL")</f>
        <v>6</v>
      </c>
      <c r="F103" s="3" t="str">
        <f aca="false">IF(C103="FIN",IF(Data!M103=Data!H103,"PASS","FAIL"),IF(AND(ISNUMBER(Data!L103),Data!L103&gt;=Rules!$B$5,IF(Data!H103&lt;5,Data!M103=Data!H103,Data!M103&gt;=Rules!$B$6)),"PASS","FAIL"))</f>
        <v>FAIL</v>
      </c>
      <c r="G103" s="3" t="str">
        <f aca="false">IF(C103="FIN","n/a",IF(C103="UTIL/REIT",IF(Data!Q103=Data!H103,"PASS","FAIL"),IF(AND(ISNUMBER(Data!N103),Data!N103&gt;0,IF(Data!H103&lt;5,Data!P103=Data!H103,Data!P103&gt;=Rules!$B$7)),"PASS","FAIL")))</f>
        <v>FAIL</v>
      </c>
      <c r="H103" s="3" t="str">
        <f aca="false">IF(C103="FIN",IF(AND(ISNUMBER(Data!S103),Data!S103&gt;=Rules!$B$15),"PASS","FAIL"),IF(AND(ISNUMBER(Data!R103),Data!R103&gt;=Rules!$B$8),"PASS","FAIL"))</f>
        <v>FAIL</v>
      </c>
      <c r="I103" s="3" t="str">
        <f aca="false">IF(C103="FIN","n/a",IF(C103="UTIL/REIT",IF(AND(Data!U103&lt;=Rules!$B$16,Data!V103&gt;=Rules!$B$17),"PASS","FAIL"),IF(AND(Data!U103&lt;=Rules!$B$9,Data!V103&gt;=Rules!$B$10),"PASS","FAIL")))</f>
        <v>FAIL</v>
      </c>
      <c r="J103" s="3" t="str">
        <f aca="false">IF(AND(ISNUMBER(Data!J103),ISNUMBER(Data!K103)),IF(AND(Data!J103&gt;=Rules!$B$11,Data!K103&gt;=Rules!$B$12),"PASS","FAIL"),"FAIL")</f>
        <v>FAIL</v>
      </c>
      <c r="K103" s="3" t="str">
        <f aca="false">IF(AND(ISNUMBER(Data!W103),ISNUMBER(Data!X103)),IF(AND(Data!W103&lt;=Rules!$B$13,Data!X103&lt;=Rules!$B$14),"PASS","FAIL"),"FAIL")</f>
        <v>FAIL</v>
      </c>
      <c r="L103" s="4" t="str">
        <f aca="false">IF(F103="FAIL","רווחיות; ","")&amp;IF(G103="FAIL","תזרים; ","")&amp;IF(H103="FAIL","תשואה על ההון; ","")&amp;IF(I103="FAIL","מאזן; ","")&amp;IF(J103="FAIL","צמיחה; ","")&amp;IF(K103="FAIL","דילול; ","")</f>
        <v>רווחיות; תזרים; תשואה על ההון; מאזן; צמיחה; דילול; </v>
      </c>
      <c r="M103" s="4" t="s">
        <v>26</v>
      </c>
      <c r="N103" s="5" t="n">
        <f aca="false">IF(M103="EXTREME",Rules!$B$23,IF(M103="HIGH",Rules!$B$22,Rules!$B$21))</f>
        <v>0.03</v>
      </c>
      <c r="O103" s="6" t="n">
        <v>63.0437873322124</v>
      </c>
      <c r="P103" s="4" t="s">
        <v>27</v>
      </c>
      <c r="Q103" s="4" t="s">
        <v>28</v>
      </c>
      <c r="R103" s="4" t="str">
        <f aca="false">IF(Q103="כן",P103,"לא רלוונטי (SMA200 יורד)")</f>
        <v>לא רלוונטי (SMA200 יורד)</v>
      </c>
      <c r="S103" s="4" t="str">
        <f aca="false">IF(NOT(ISNUMBER(T103)),"n/a",IF(AND(T103&gt;Rules!$B$18,ISNUMBER(U103),U103&lt;Rules!$B$19),"יקרה",IF(T103&lt;Rules!$B$20,"זולה","הוגנת")))</f>
        <v>n/a</v>
      </c>
      <c r="T103" s="7" t="str">
        <f aca="false">Data!AA103</f>
        <v/>
      </c>
      <c r="U103" s="8" t="n">
        <f aca="false">Data!AC103</f>
        <v>-0.430617050873831</v>
      </c>
      <c r="V103" s="9" t="n">
        <v>0.0547</v>
      </c>
      <c r="W103" s="5" t="n">
        <v>-0.841</v>
      </c>
    </row>
    <row r="104" customFormat="false" ht="15" hidden="false" customHeight="false" outlineLevel="0" collapsed="false">
      <c r="A104" s="2" t="str">
        <f aca="false">Data!A104</f>
        <v>NEE</v>
      </c>
      <c r="B104" s="2" t="str">
        <f aca="false">Data!B104</f>
        <v>NextEra Energy Inc.</v>
      </c>
      <c r="C104" s="2" t="str">
        <f aca="false">Data!F104</f>
        <v>UTIL/REIT</v>
      </c>
      <c r="D104" s="3" t="str">
        <f aca="false">IF(E104=0,"CORE",IF(E104=1,"WATCH","NON-CORE"))</f>
        <v>NON-CORE</v>
      </c>
      <c r="E104" s="4" t="n">
        <f aca="false">COUNTIF(F104:K104,"FAIL")</f>
        <v>3</v>
      </c>
      <c r="F104" s="3" t="str">
        <f aca="false">IF(C104="FIN",IF(Data!M104=Data!H104,"PASS","FAIL"),IF(AND(ISNUMBER(Data!L104),Data!L104&gt;=Rules!$B$5,IF(Data!H104&lt;5,Data!M104=Data!H104,Data!M104&gt;=Rules!$B$6)),"PASS","FAIL"))</f>
        <v>PASS</v>
      </c>
      <c r="G104" s="3" t="str">
        <f aca="false">IF(C104="FIN","n/a",IF(C104="UTIL/REIT",IF(Data!Q104=Data!H104,"PASS","FAIL"),IF(AND(ISNUMBER(Data!N104),Data!N104&gt;0,IF(Data!H104&lt;5,Data!P104=Data!H104,Data!P104&gt;=Rules!$B$7)),"PASS","FAIL")))</f>
        <v>PASS</v>
      </c>
      <c r="H104" s="3" t="str">
        <f aca="false">IF(C104="FIN",IF(AND(ISNUMBER(Data!S104),Data!S104&gt;=Rules!$B$15),"PASS","FAIL"),IF(AND(ISNUMBER(Data!R104),Data!R104&gt;=Rules!$B$8),"PASS","FAIL"))</f>
        <v>FAIL</v>
      </c>
      <c r="I104" s="3" t="str">
        <f aca="false">IF(C104="FIN","n/a",IF(C104="UTIL/REIT",IF(AND(Data!U104&lt;=Rules!$B$16,Data!V104&gt;=Rules!$B$17),"PASS","FAIL"),IF(AND(Data!U104&lt;=Rules!$B$9,Data!V104&gt;=Rules!$B$10),"PASS","FAIL")))</f>
        <v>FAIL</v>
      </c>
      <c r="J104" s="3" t="str">
        <f aca="false">IF(AND(ISNUMBER(Data!J104),ISNUMBER(Data!K104)),IF(AND(Data!J104&gt;=Rules!$B$11,Data!K104&gt;=Rules!$B$12),"PASS","FAIL"),"FAIL")</f>
        <v>PASS</v>
      </c>
      <c r="K104" s="3" t="str">
        <f aca="false">IF(AND(ISNUMBER(Data!W104),ISNUMBER(Data!X104)),IF(AND(Data!W104&lt;=Rules!$B$13,Data!X104&lt;=Rules!$B$14),"PASS","FAIL"),"FAIL")</f>
        <v>FAIL</v>
      </c>
      <c r="L104" s="4" t="str">
        <f aca="false">IF(F104="FAIL","רווחיות; ","")&amp;IF(G104="FAIL","תזרים; ","")&amp;IF(H104="FAIL","תשואה על ההון; ","")&amp;IF(I104="FAIL","מאזן; ","")&amp;IF(J104="FAIL","צמיחה; ","")&amp;IF(K104="FAIL","דילול; ","")</f>
        <v>תשואה על ההון; מאזן; דילול; </v>
      </c>
      <c r="M104" s="4" t="s">
        <v>29</v>
      </c>
      <c r="N104" s="5" t="n">
        <f aca="false">IF(M104="EXTREME",Rules!$B$23,IF(M104="HIGH",Rules!$B$22,Rules!$B$21))</f>
        <v>0.1</v>
      </c>
      <c r="O104" s="6" t="n">
        <v>88.3426819859458</v>
      </c>
      <c r="P104" s="4" t="s">
        <v>30</v>
      </c>
      <c r="Q104" s="4" t="s">
        <v>28</v>
      </c>
      <c r="R104" s="4" t="str">
        <f aca="false">IF(Q104="כן",P104,"לא רלוונטי (SMA200 יורד)")</f>
        <v>לא רלוונטי (SMA200 יורד)</v>
      </c>
      <c r="S104" s="4" t="str">
        <f aca="false">IF(NOT(ISNUMBER(T104)),"n/a",IF(AND(T104&gt;Rules!$B$18,ISNUMBER(U104),U104&lt;Rules!$B$19),"יקרה",IF(T104&lt;Rules!$B$20,"זולה","הוגנת")))</f>
        <v>זולה</v>
      </c>
      <c r="T104" s="7" t="n">
        <f aca="false">Data!AA104</f>
        <v>0.724165922626512</v>
      </c>
      <c r="U104" s="8" t="n">
        <f aca="false">Data!AC104</f>
        <v>0.0186114504811663</v>
      </c>
      <c r="V104" s="9" t="n">
        <v>0.0163</v>
      </c>
      <c r="W104" s="5" t="n">
        <v>-0.4718</v>
      </c>
    </row>
    <row r="105" customFormat="false" ht="15" hidden="false" customHeight="false" outlineLevel="0" collapsed="false">
      <c r="A105" s="2" t="str">
        <f aca="false">Data!A105</f>
        <v>ORCL</v>
      </c>
      <c r="B105" s="2" t="str">
        <f aca="false">Data!B105</f>
        <v>Oracle Corp.</v>
      </c>
      <c r="C105" s="2" t="str">
        <f aca="false">Data!F105</f>
        <v>STD</v>
      </c>
      <c r="D105" s="3" t="str">
        <f aca="false">IF(E105=0,"CORE",IF(E105=1,"WATCH","NON-CORE"))</f>
        <v>NON-CORE</v>
      </c>
      <c r="E105" s="4" t="n">
        <f aca="false">COUNTIF(F105:K105,"FAIL")</f>
        <v>4</v>
      </c>
      <c r="F105" s="3" t="str">
        <f aca="false">IF(C105="FIN",IF(Data!M105=Data!H105,"PASS","FAIL"),IF(AND(ISNUMBER(Data!L105),Data!L105&gt;=Rules!$B$5,IF(Data!H105&lt;5,Data!M105=Data!H105,Data!M105&gt;=Rules!$B$6)),"PASS","FAIL"))</f>
        <v>PASS</v>
      </c>
      <c r="G105" s="3" t="str">
        <f aca="false">IF(C105="FIN","n/a",IF(C105="UTIL/REIT",IF(Data!Q105=Data!H105,"PASS","FAIL"),IF(AND(ISNUMBER(Data!N105),Data!N105&gt;0,IF(Data!H105&lt;5,Data!P105=Data!H105,Data!P105&gt;=Rules!$B$7)),"PASS","FAIL")))</f>
        <v>FAIL</v>
      </c>
      <c r="H105" s="3" t="str">
        <f aca="false">IF(C105="FIN",IF(AND(ISNUMBER(Data!S105),Data!S105&gt;=Rules!$B$15),"PASS","FAIL"),IF(AND(ISNUMBER(Data!R105),Data!R105&gt;=Rules!$B$8),"PASS","FAIL"))</f>
        <v>FAIL</v>
      </c>
      <c r="I105" s="3" t="str">
        <f aca="false">IF(C105="FIN","n/a",IF(C105="UTIL/REIT",IF(AND(Data!U105&lt;=Rules!$B$16,Data!V105&gt;=Rules!$B$17),"PASS","FAIL"),IF(AND(Data!U105&lt;=Rules!$B$9,Data!V105&gt;=Rules!$B$10),"PASS","FAIL")))</f>
        <v>FAIL</v>
      </c>
      <c r="J105" s="3" t="str">
        <f aca="false">IF(AND(ISNUMBER(Data!J105),ISNUMBER(Data!K105)),IF(AND(Data!J105&gt;=Rules!$B$11,Data!K105&gt;=Rules!$B$12),"PASS","FAIL"),"FAIL")</f>
        <v>PASS</v>
      </c>
      <c r="K105" s="3" t="str">
        <f aca="false">IF(AND(ISNUMBER(Data!W105),ISNUMBER(Data!X105)),IF(AND(Data!W105&lt;=Rules!$B$13,Data!X105&lt;=Rules!$B$14),"PASS","FAIL"),"FAIL")</f>
        <v>FAIL</v>
      </c>
      <c r="L105" s="4" t="str">
        <f aca="false">IF(F105="FAIL","רווחיות; ","")&amp;IF(G105="FAIL","תזרים; ","")&amp;IF(H105="FAIL","תשואה על ההון; ","")&amp;IF(I105="FAIL","מאזן; ","")&amp;IF(J105="FAIL","צמיחה; ","")&amp;IF(K105="FAIL","דילול; ","")</f>
        <v>תזרים; תשואה על ההון; מאזן; דילול; </v>
      </c>
      <c r="M105" s="4" t="s">
        <v>26</v>
      </c>
      <c r="N105" s="5" t="n">
        <f aca="false">IF(M105="EXTREME",Rules!$B$23,IF(M105="HIGH",Rules!$B$22,Rules!$B$21))</f>
        <v>0.03</v>
      </c>
      <c r="O105" s="6" t="n">
        <v>91.4504849988721</v>
      </c>
      <c r="P105" s="4" t="s">
        <v>30</v>
      </c>
      <c r="Q105" s="4" t="s">
        <v>28</v>
      </c>
      <c r="R105" s="4" t="str">
        <f aca="false">IF(Q105="כן",P105,"לא רלוונטי (SMA200 יורד)")</f>
        <v>לא רלוונטי (SMA200 יורד)</v>
      </c>
      <c r="S105" s="4" t="str">
        <f aca="false">IF(NOT(ISNUMBER(T105)),"n/a",IF(AND(T105&gt;Rules!$B$18,ISNUMBER(U105),U105&lt;Rules!$B$19),"יקרה",IF(T105&lt;Rules!$B$20,"זולה","הוגנת")))</f>
        <v>זולה</v>
      </c>
      <c r="T105" s="7" t="n">
        <f aca="false">Data!AA105</f>
        <v>0.641250026220293</v>
      </c>
      <c r="U105" s="8" t="n">
        <f aca="false">Data!AC105</f>
        <v>-0.0713102208303385</v>
      </c>
      <c r="V105" s="9" t="n">
        <v>0.0446</v>
      </c>
      <c r="W105" s="5" t="n">
        <v>-0.6499</v>
      </c>
    </row>
    <row r="106" customFormat="false" ht="15" hidden="false" customHeight="false" outlineLevel="0" collapsed="false">
      <c r="A106" s="2" t="str">
        <f aca="false">Data!A106</f>
        <v>PANW</v>
      </c>
      <c r="B106" s="2" t="str">
        <f aca="false">Data!B106</f>
        <v>Palo Alto Networks Inc.</v>
      </c>
      <c r="C106" s="2" t="str">
        <f aca="false">Data!F106</f>
        <v>STD</v>
      </c>
      <c r="D106" s="3" t="str">
        <f aca="false">IF(E106=0,"CORE",IF(E106=1,"WATCH","NON-CORE"))</f>
        <v>NON-CORE</v>
      </c>
      <c r="E106" s="4" t="n">
        <f aca="false">COUNTIF(F106:K106,"FAIL")</f>
        <v>3</v>
      </c>
      <c r="F106" s="3" t="str">
        <f aca="false">IF(C106="FIN",IF(Data!M106=Data!H106,"PASS","FAIL"),IF(AND(ISNUMBER(Data!L106),Data!L106&gt;=Rules!$B$5,IF(Data!H106&lt;5,Data!M106=Data!H106,Data!M106&gt;=Rules!$B$6)),"PASS","FAIL"))</f>
        <v>FAIL</v>
      </c>
      <c r="G106" s="3" t="str">
        <f aca="false">IF(C106="FIN","n/a",IF(C106="UTIL/REIT",IF(Data!Q106=Data!H106,"PASS","FAIL"),IF(AND(ISNUMBER(Data!N106),Data!N106&gt;0,IF(Data!H106&lt;5,Data!P106=Data!H106,Data!P106&gt;=Rules!$B$7)),"PASS","FAIL")))</f>
        <v>PASS</v>
      </c>
      <c r="H106" s="3" t="str">
        <f aca="false">IF(C106="FIN",IF(AND(ISNUMBER(Data!S106),Data!S106&gt;=Rules!$B$15),"PASS","FAIL"),IF(AND(ISNUMBER(Data!R106),Data!R106&gt;=Rules!$B$8),"PASS","FAIL"))</f>
        <v>FAIL</v>
      </c>
      <c r="I106" s="3" t="str">
        <f aca="false">IF(C106="FIN","n/a",IF(C106="UTIL/REIT",IF(AND(Data!U106&lt;=Rules!$B$16,Data!V106&gt;=Rules!$B$17),"PASS","FAIL"),IF(AND(Data!U106&lt;=Rules!$B$9,Data!V106&gt;=Rules!$B$10),"PASS","FAIL")))</f>
        <v>PASS</v>
      </c>
      <c r="J106" s="3" t="str">
        <f aca="false">IF(AND(ISNUMBER(Data!J106),ISNUMBER(Data!K106)),IF(AND(Data!J106&gt;=Rules!$B$11,Data!K106&gt;=Rules!$B$12),"PASS","FAIL"),"FAIL")</f>
        <v>PASS</v>
      </c>
      <c r="K106" s="3" t="str">
        <f aca="false">IF(AND(ISNUMBER(Data!W106),ISNUMBER(Data!X106)),IF(AND(Data!W106&lt;=Rules!$B$13,Data!X106&lt;=Rules!$B$14),"PASS","FAIL"),"FAIL")</f>
        <v>FAIL</v>
      </c>
      <c r="L106" s="4" t="str">
        <f aca="false">IF(F106="FAIL","רווחיות; ","")&amp;IF(G106="FAIL","תזרים; ","")&amp;IF(H106="FAIL","תשואה על ההון; ","")&amp;IF(I106="FAIL","מאזן; ","")&amp;IF(J106="FAIL","צמיחה; ","")&amp;IF(K106="FAIL","דילול; ","")</f>
        <v>רווחיות; תשואה על ההון; דילול; </v>
      </c>
      <c r="M106" s="4" t="s">
        <v>26</v>
      </c>
      <c r="N106" s="5" t="n">
        <f aca="false">IF(M106="EXTREME",Rules!$B$23,IF(M106="HIGH",Rules!$B$22,Rules!$B$21))</f>
        <v>0.03</v>
      </c>
      <c r="O106" s="6" t="n">
        <v>4.76729153199742</v>
      </c>
      <c r="P106" s="4" t="s">
        <v>32</v>
      </c>
      <c r="Q106" s="4" t="s">
        <v>25</v>
      </c>
      <c r="R106" s="4" t="str">
        <f aca="false">IF(Q106="כן",P106,"לא רלוונטי (SMA200 יורד)")</f>
        <v>Q1</v>
      </c>
      <c r="S106" s="4" t="str">
        <f aca="false">IF(NOT(ISNUMBER(T106)),"n/a",IF(AND(T106&gt;Rules!$B$18,ISNUMBER(U106),U106&lt;Rules!$B$19),"יקרה",IF(T106&lt;Rules!$B$20,"זולה","הוגנת")))</f>
        <v>יקרה</v>
      </c>
      <c r="T106" s="7" t="n">
        <f aca="false">Data!AA106</f>
        <v>6.44746611692558</v>
      </c>
      <c r="U106" s="8" t="n">
        <f aca="false">Data!AC106</f>
        <v>0.0124969065370853</v>
      </c>
      <c r="V106" s="9" t="n">
        <v>0.0462</v>
      </c>
      <c r="W106" s="5" t="n">
        <v>-0.36</v>
      </c>
    </row>
    <row r="107" customFormat="false" ht="15" hidden="false" customHeight="false" outlineLevel="0" collapsed="false">
      <c r="A107" s="2" t="str">
        <f aca="false">Data!A107</f>
        <v>PLD</v>
      </c>
      <c r="B107" s="2" t="str">
        <f aca="false">Data!B107</f>
        <v>Prologis Inc.</v>
      </c>
      <c r="C107" s="2" t="str">
        <f aca="false">Data!F107</f>
        <v>UTIL/REIT</v>
      </c>
      <c r="D107" s="3" t="str">
        <f aca="false">IF(E107=0,"CORE",IF(E107=1,"WATCH","NON-CORE"))</f>
        <v>NON-CORE</v>
      </c>
      <c r="E107" s="4" t="n">
        <f aca="false">COUNTIF(F107:K107,"FAIL")</f>
        <v>2</v>
      </c>
      <c r="F107" s="3" t="str">
        <f aca="false">IF(C107="FIN",IF(Data!M107=Data!H107,"PASS","FAIL"),IF(AND(ISNUMBER(Data!L107),Data!L107&gt;=Rules!$B$5,IF(Data!H107&lt;5,Data!M107=Data!H107,Data!M107&gt;=Rules!$B$6)),"PASS","FAIL"))</f>
        <v>PASS</v>
      </c>
      <c r="G107" s="3" t="str">
        <f aca="false">IF(C107="FIN","n/a",IF(C107="UTIL/REIT",IF(Data!Q107=Data!H107,"PASS","FAIL"),IF(AND(ISNUMBER(Data!N107),Data!N107&gt;0,IF(Data!H107&lt;5,Data!P107=Data!H107,Data!P107&gt;=Rules!$B$7)),"PASS","FAIL")))</f>
        <v>PASS</v>
      </c>
      <c r="H107" s="3" t="str">
        <f aca="false">IF(C107="FIN",IF(AND(ISNUMBER(Data!S107),Data!S107&gt;=Rules!$B$15),"PASS","FAIL"),IF(AND(ISNUMBER(Data!R107),Data!R107&gt;=Rules!$B$8),"PASS","FAIL"))</f>
        <v>FAIL</v>
      </c>
      <c r="I107" s="3" t="str">
        <f aca="false">IF(C107="FIN","n/a",IF(C107="UTIL/REIT",IF(AND(Data!U107&lt;=Rules!$B$16,Data!V107&gt;=Rules!$B$17),"PASS","FAIL"),IF(AND(Data!U107&lt;=Rules!$B$9,Data!V107&gt;=Rules!$B$10),"PASS","FAIL")))</f>
        <v>PASS</v>
      </c>
      <c r="J107" s="3" t="str">
        <f aca="false">IF(AND(ISNUMBER(Data!J107),ISNUMBER(Data!K107)),IF(AND(Data!J107&gt;=Rules!$B$11,Data!K107&gt;=Rules!$B$12),"PASS","FAIL"),"FAIL")</f>
        <v>PASS</v>
      </c>
      <c r="K107" s="3" t="str">
        <f aca="false">IF(AND(ISNUMBER(Data!W107),ISNUMBER(Data!X107)),IF(AND(Data!W107&lt;=Rules!$B$13,Data!X107&lt;=Rules!$B$14),"PASS","FAIL"),"FAIL")</f>
        <v>FAIL</v>
      </c>
      <c r="L107" s="4" t="str">
        <f aca="false">IF(F107="FAIL","רווחיות; ","")&amp;IF(G107="FAIL","תזרים; ","")&amp;IF(H107="FAIL","תשואה על ההון; ","")&amp;IF(I107="FAIL","מאזן; ","")&amp;IF(J107="FAIL","צמיחה; ","")&amp;IF(K107="FAIL","דילול; ","")</f>
        <v>תשואה על ההון; דילול; </v>
      </c>
      <c r="M107" s="4" t="s">
        <v>29</v>
      </c>
      <c r="N107" s="5" t="n">
        <f aca="false">IF(M107="EXTREME",Rules!$B$23,IF(M107="HIGH",Rules!$B$22,Rules!$B$21))</f>
        <v>0.1</v>
      </c>
      <c r="O107" s="6" t="n">
        <v>64.1473801340974</v>
      </c>
      <c r="P107" s="4" t="s">
        <v>27</v>
      </c>
      <c r="Q107" s="4" t="s">
        <v>25</v>
      </c>
      <c r="R107" s="4" t="str">
        <f aca="false">IF(Q107="כן",P107,"לא רלוונטי (SMA200 יורד)")</f>
        <v>Q3</v>
      </c>
      <c r="S107" s="4" t="str">
        <f aca="false">IF(NOT(ISNUMBER(T107)),"n/a",IF(AND(T107&gt;Rules!$B$18,ISNUMBER(U107),U107&lt;Rules!$B$19),"יקרה",IF(T107&lt;Rules!$B$20,"זולה","הוגנת")))</f>
        <v>הוגנת</v>
      </c>
      <c r="T107" s="7" t="n">
        <f aca="false">Data!AA107</f>
        <v>0.828382683168834</v>
      </c>
      <c r="U107" s="8" t="n">
        <f aca="false">Data!AC107</f>
        <v>0.0424011399632166</v>
      </c>
      <c r="V107" s="9" t="n">
        <v>0.0171</v>
      </c>
      <c r="W107" s="5" t="n">
        <v>-0.4812</v>
      </c>
    </row>
    <row r="108" customFormat="false" ht="15" hidden="false" customHeight="false" outlineLevel="0" collapsed="false">
      <c r="A108" s="2" t="str">
        <f aca="false">Data!A108</f>
        <v>PLTR</v>
      </c>
      <c r="B108" s="2" t="str">
        <f aca="false">Data!B108</f>
        <v>Palantir Technologies Inc.</v>
      </c>
      <c r="C108" s="2" t="str">
        <f aca="false">Data!F108</f>
        <v>STD</v>
      </c>
      <c r="D108" s="3" t="str">
        <f aca="false">IF(E108=0,"CORE",IF(E108=1,"WATCH","NON-CORE"))</f>
        <v>NON-CORE</v>
      </c>
      <c r="E108" s="4" t="n">
        <f aca="false">COUNTIF(F108:K108,"FAIL")</f>
        <v>2</v>
      </c>
      <c r="F108" s="3" t="str">
        <f aca="false">IF(C108="FIN",IF(Data!M108=Data!H108,"PASS","FAIL"),IF(AND(ISNUMBER(Data!L108),Data!L108&gt;=Rules!$B$5,IF(Data!H108&lt;5,Data!M108=Data!H108,Data!M108&gt;=Rules!$B$6)),"PASS","FAIL"))</f>
        <v>FAIL</v>
      </c>
      <c r="G108" s="3" t="str">
        <f aca="false">IF(C108="FIN","n/a",IF(C108="UTIL/REIT",IF(Data!Q108=Data!H108,"PASS","FAIL"),IF(AND(ISNUMBER(Data!N108),Data!N108&gt;0,IF(Data!H108&lt;5,Data!P108=Data!H108,Data!P108&gt;=Rules!$B$7)),"PASS","FAIL")))</f>
        <v>PASS</v>
      </c>
      <c r="H108" s="3" t="str">
        <f aca="false">IF(C108="FIN",IF(AND(ISNUMBER(Data!S108),Data!S108&gt;=Rules!$B$15),"PASS","FAIL"),IF(AND(ISNUMBER(Data!R108),Data!R108&gt;=Rules!$B$8),"PASS","FAIL"))</f>
        <v>PASS</v>
      </c>
      <c r="I108" s="3" t="str">
        <f aca="false">IF(C108="FIN","n/a",IF(C108="UTIL/REIT",IF(AND(Data!U108&lt;=Rules!$B$16,Data!V108&gt;=Rules!$B$17),"PASS","FAIL"),IF(AND(Data!U108&lt;=Rules!$B$9,Data!V108&gt;=Rules!$B$10),"PASS","FAIL")))</f>
        <v>PASS</v>
      </c>
      <c r="J108" s="3" t="str">
        <f aca="false">IF(AND(ISNUMBER(Data!J108),ISNUMBER(Data!K108)),IF(AND(Data!J108&gt;=Rules!$B$11,Data!K108&gt;=Rules!$B$12),"PASS","FAIL"),"FAIL")</f>
        <v>PASS</v>
      </c>
      <c r="K108" s="3" t="str">
        <f aca="false">IF(AND(ISNUMBER(Data!W108),ISNUMBER(Data!X108)),IF(AND(Data!W108&lt;=Rules!$B$13,Data!X108&lt;=Rules!$B$14),"PASS","FAIL"),"FAIL")</f>
        <v>FAIL</v>
      </c>
      <c r="L108" s="4" t="str">
        <f aca="false">IF(F108="FAIL","רווחיות; ","")&amp;IF(G108="FAIL","תזרים; ","")&amp;IF(H108="FAIL","תשואה על ההון; ","")&amp;IF(I108="FAIL","מאזן; ","")&amp;IF(J108="FAIL","צמיחה; ","")&amp;IF(K108="FAIL","דילול; ","")</f>
        <v>רווחיות; דילול; </v>
      </c>
      <c r="M108" s="4" t="s">
        <v>26</v>
      </c>
      <c r="N108" s="5" t="n">
        <f aca="false">IF(M108="EXTREME",Rules!$B$23,IF(M108="HIGH",Rules!$B$22,Rules!$B$21))</f>
        <v>0.03</v>
      </c>
      <c r="O108" s="6" t="n">
        <v>51.47175362422</v>
      </c>
      <c r="P108" s="4" t="s">
        <v>27</v>
      </c>
      <c r="Q108" s="4" t="s">
        <v>25</v>
      </c>
      <c r="R108" s="4" t="str">
        <f aca="false">IF(Q108="כן",P108,"לא רלוונטי (SMA200 יורד)")</f>
        <v>Q3</v>
      </c>
      <c r="S108" s="4" t="str">
        <f aca="false">IF(NOT(ISNUMBER(T108)),"n/a",IF(AND(T108&gt;Rules!$B$18,ISNUMBER(U108),U108&lt;Rules!$B$19),"יקרה",IF(T108&lt;Rules!$B$20,"זולה","הוגנת")))</f>
        <v>זולה</v>
      </c>
      <c r="T108" s="7" t="n">
        <f aca="false">Data!AA108</f>
        <v>0.642878574777309</v>
      </c>
      <c r="U108" s="8" t="n">
        <f aca="false">Data!AC108</f>
        <v>0.00701132394948956</v>
      </c>
      <c r="V108" s="9" t="n">
        <v>0.0415</v>
      </c>
      <c r="W108" s="5" t="n">
        <v>-0.7757</v>
      </c>
    </row>
    <row r="109" customFormat="false" ht="15" hidden="false" customHeight="false" outlineLevel="0" collapsed="false">
      <c r="A109" s="2" t="str">
        <f aca="false">Data!A109</f>
        <v>RBLX</v>
      </c>
      <c r="B109" s="2" t="str">
        <f aca="false">Data!B109</f>
        <v>Roblox Corp.</v>
      </c>
      <c r="C109" s="2" t="str">
        <f aca="false">Data!F109</f>
        <v>STD</v>
      </c>
      <c r="D109" s="3" t="str">
        <f aca="false">IF(E109=0,"CORE",IF(E109=1,"WATCH","NON-CORE"))</f>
        <v>NON-CORE</v>
      </c>
      <c r="E109" s="4" t="n">
        <f aca="false">COUNTIF(F109:K109,"FAIL")</f>
        <v>4</v>
      </c>
      <c r="F109" s="3" t="str">
        <f aca="false">IF(C109="FIN",IF(Data!M109=Data!H109,"PASS","FAIL"),IF(AND(ISNUMBER(Data!L109),Data!L109&gt;=Rules!$B$5,IF(Data!H109&lt;5,Data!M109=Data!H109,Data!M109&gt;=Rules!$B$6)),"PASS","FAIL"))</f>
        <v>FAIL</v>
      </c>
      <c r="G109" s="3" t="str">
        <f aca="false">IF(C109="FIN","n/a",IF(C109="UTIL/REIT",IF(Data!Q109=Data!H109,"PASS","FAIL"),IF(AND(ISNUMBER(Data!N109),Data!N109&gt;0,IF(Data!H109&lt;5,Data!P109=Data!H109,Data!P109&gt;=Rules!$B$7)),"PASS","FAIL")))</f>
        <v>PASS</v>
      </c>
      <c r="H109" s="3" t="str">
        <f aca="false">IF(C109="FIN",IF(AND(ISNUMBER(Data!S109),Data!S109&gt;=Rules!$B$15),"PASS","FAIL"),IF(AND(ISNUMBER(Data!R109),Data!R109&gt;=Rules!$B$8),"PASS","FAIL"))</f>
        <v>FAIL</v>
      </c>
      <c r="I109" s="3" t="str">
        <f aca="false">IF(C109="FIN","n/a",IF(C109="UTIL/REIT",IF(AND(Data!U109&lt;=Rules!$B$16,Data!V109&gt;=Rules!$B$17),"PASS","FAIL"),IF(AND(Data!U109&lt;=Rules!$B$9,Data!V109&gt;=Rules!$B$10),"PASS","FAIL")))</f>
        <v>FAIL</v>
      </c>
      <c r="J109" s="3" t="str">
        <f aca="false">IF(AND(ISNUMBER(Data!J109),ISNUMBER(Data!K109)),IF(AND(Data!J109&gt;=Rules!$B$11,Data!K109&gt;=Rules!$B$12),"PASS","FAIL"),"FAIL")</f>
        <v>PASS</v>
      </c>
      <c r="K109" s="3" t="str">
        <f aca="false">IF(AND(ISNUMBER(Data!W109),ISNUMBER(Data!X109)),IF(AND(Data!W109&lt;=Rules!$B$13,Data!X109&lt;=Rules!$B$14),"PASS","FAIL"),"FAIL")</f>
        <v>FAIL</v>
      </c>
      <c r="L109" s="4" t="str">
        <f aca="false">IF(F109="FAIL","רווחיות; ","")&amp;IF(G109="FAIL","תזרים; ","")&amp;IF(H109="FAIL","תשואה על ההון; ","")&amp;IF(I109="FAIL","מאזן; ","")&amp;IF(J109="FAIL","צמיחה; ","")&amp;IF(K109="FAIL","דילול; ","")</f>
        <v>רווחיות; תשואה על ההון; מאזן; דילול; </v>
      </c>
      <c r="M109" s="4" t="s">
        <v>26</v>
      </c>
      <c r="N109" s="5" t="n">
        <f aca="false">IF(M109="EXTREME",Rules!$B$23,IF(M109="HIGH",Rules!$B$22,Rules!$B$21))</f>
        <v>0.03</v>
      </c>
      <c r="O109" s="6" t="n">
        <v>84.6586999338423</v>
      </c>
      <c r="P109" s="4" t="s">
        <v>30</v>
      </c>
      <c r="Q109" s="4" t="s">
        <v>28</v>
      </c>
      <c r="R109" s="4" t="str">
        <f aca="false">IF(Q109="כן",P109,"לא רלוונטי (SMA200 יורד)")</f>
        <v>לא רלוונטי (SMA200 יורד)</v>
      </c>
      <c r="S109" s="4" t="str">
        <f aca="false">IF(NOT(ISNUMBER(T109)),"n/a",IF(AND(T109&gt;Rules!$B$18,ISNUMBER(U109),U109&lt;Rules!$B$19),"יקרה",IF(T109&lt;Rules!$B$20,"זולה","הוגנת")))</f>
        <v>n/a</v>
      </c>
      <c r="T109" s="7" t="str">
        <f aca="false">Data!AA109</f>
        <v/>
      </c>
      <c r="U109" s="8" t="n">
        <f aca="false">Data!AC109</f>
        <v>0.0461508288278268</v>
      </c>
      <c r="V109" s="9" t="n">
        <v>0.0512</v>
      </c>
      <c r="W109" s="5" t="n">
        <v>-0.828</v>
      </c>
    </row>
    <row r="110" customFormat="false" ht="15" hidden="false" customHeight="false" outlineLevel="0" collapsed="false">
      <c r="A110" s="2" t="str">
        <f aca="false">Data!A110</f>
        <v>SBUX</v>
      </c>
      <c r="B110" s="2" t="str">
        <f aca="false">Data!B110</f>
        <v>Starbucks Corp.</v>
      </c>
      <c r="C110" s="2" t="str">
        <f aca="false">Data!F110</f>
        <v>STD</v>
      </c>
      <c r="D110" s="3" t="str">
        <f aca="false">IF(E110=0,"CORE",IF(E110=1,"WATCH","NON-CORE"))</f>
        <v>NON-CORE</v>
      </c>
      <c r="E110" s="4" t="n">
        <f aca="false">COUNTIF(F110:K110,"FAIL")</f>
        <v>2</v>
      </c>
      <c r="F110" s="3" t="str">
        <f aca="false">IF(C110="FIN",IF(Data!M110=Data!H110,"PASS","FAIL"),IF(AND(ISNUMBER(Data!L110),Data!L110&gt;=Rules!$B$5,IF(Data!H110&lt;5,Data!M110=Data!H110,Data!M110&gt;=Rules!$B$6)),"PASS","FAIL"))</f>
        <v>FAIL</v>
      </c>
      <c r="G110" s="3" t="str">
        <f aca="false">IF(C110="FIN","n/a",IF(C110="UTIL/REIT",IF(Data!Q110=Data!H110,"PASS","FAIL"),IF(AND(ISNUMBER(Data!N110),Data!N110&gt;0,IF(Data!H110&lt;5,Data!P110=Data!H110,Data!P110&gt;=Rules!$B$7)),"PASS","FAIL")))</f>
        <v>PASS</v>
      </c>
      <c r="H110" s="3" t="str">
        <f aca="false">IF(C110="FIN",IF(AND(ISNUMBER(Data!S110),Data!S110&gt;=Rules!$B$15),"PASS","FAIL"),IF(AND(ISNUMBER(Data!R110),Data!R110&gt;=Rules!$B$8),"PASS","FAIL"))</f>
        <v>PASS</v>
      </c>
      <c r="I110" s="3" t="str">
        <f aca="false">IF(C110="FIN","n/a",IF(C110="UTIL/REIT",IF(AND(Data!U110&lt;=Rules!$B$16,Data!V110&gt;=Rules!$B$17),"PASS","FAIL"),IF(AND(Data!U110&lt;=Rules!$B$9,Data!V110&gt;=Rules!$B$10),"PASS","FAIL")))</f>
        <v>FAIL</v>
      </c>
      <c r="J110" s="3" t="str">
        <f aca="false">IF(AND(ISNUMBER(Data!J110),ISNUMBER(Data!K110)),IF(AND(Data!J110&gt;=Rules!$B$11,Data!K110&gt;=Rules!$B$12),"PASS","FAIL"),"FAIL")</f>
        <v>PASS</v>
      </c>
      <c r="K110" s="3" t="str">
        <f aca="false">IF(AND(ISNUMBER(Data!W110),ISNUMBER(Data!X110)),IF(AND(Data!W110&lt;=Rules!$B$13,Data!X110&lt;=Rules!$B$14),"PASS","FAIL"),"FAIL")</f>
        <v>PASS</v>
      </c>
      <c r="L110" s="4" t="str">
        <f aca="false">IF(F110="FAIL","רווחיות; ","")&amp;IF(G110="FAIL","תזרים; ","")&amp;IF(H110="FAIL","תשואה על ההון; ","")&amp;IF(I110="FAIL","מאזן; ","")&amp;IF(J110="FAIL","צמיחה; ","")&amp;IF(K110="FAIL","דילול; ","")</f>
        <v>רווחיות; מאזן; </v>
      </c>
      <c r="M110" s="4" t="s">
        <v>29</v>
      </c>
      <c r="N110" s="5" t="n">
        <f aca="false">IF(M110="EXTREME",Rules!$B$23,IF(M110="HIGH",Rules!$B$22,Rules!$B$21))</f>
        <v>0.1</v>
      </c>
      <c r="O110" s="6" t="n">
        <v>56.1936166300493</v>
      </c>
      <c r="P110" s="4" t="s">
        <v>27</v>
      </c>
      <c r="Q110" s="4" t="s">
        <v>25</v>
      </c>
      <c r="R110" s="4" t="str">
        <f aca="false">IF(Q110="כן",P110,"לא רלוונטי (SMA200 יורד)")</f>
        <v>Q3</v>
      </c>
      <c r="S110" s="4" t="str">
        <f aca="false">IF(NOT(ISNUMBER(T110)),"n/a",IF(AND(T110&gt;Rules!$B$18,ISNUMBER(U110),U110&lt;Rules!$B$19),"יקרה",IF(T110&lt;Rules!$B$20,"זולה","הוגנת")))</f>
        <v>הוגנת</v>
      </c>
      <c r="T110" s="7" t="n">
        <f aca="false">Data!AA110</f>
        <v>1.79392909467412</v>
      </c>
      <c r="U110" s="8" t="n">
        <f aca="false">Data!AC110</f>
        <v>0.0346191099463998</v>
      </c>
      <c r="V110" s="9" t="n">
        <v>0.0241</v>
      </c>
      <c r="W110" s="5" t="n">
        <v>-0.4023</v>
      </c>
    </row>
    <row r="111" customFormat="false" ht="15" hidden="false" customHeight="false" outlineLevel="0" collapsed="false">
      <c r="A111" s="2" t="str">
        <f aca="false">Data!A111</f>
        <v>SMCI</v>
      </c>
      <c r="B111" s="2" t="str">
        <f aca="false">Data!B111</f>
        <v>Super Micro Computer Inc.</v>
      </c>
      <c r="C111" s="2" t="str">
        <f aca="false">Data!F111</f>
        <v>STD</v>
      </c>
      <c r="D111" s="3" t="str">
        <f aca="false">IF(E111=0,"CORE",IF(E111=1,"WATCH","NON-CORE"))</f>
        <v>NON-CORE</v>
      </c>
      <c r="E111" s="4" t="n">
        <f aca="false">COUNTIF(F111:K111,"FAIL")</f>
        <v>3</v>
      </c>
      <c r="F111" s="3" t="str">
        <f aca="false">IF(C111="FIN",IF(Data!M111=Data!H111,"PASS","FAIL"),IF(AND(ISNUMBER(Data!L111),Data!L111&gt;=Rules!$B$5,IF(Data!H111&lt;5,Data!M111=Data!H111,Data!M111&gt;=Rules!$B$6)),"PASS","FAIL"))</f>
        <v>FAIL</v>
      </c>
      <c r="G111" s="3" t="str">
        <f aca="false">IF(C111="FIN","n/a",IF(C111="UTIL/REIT",IF(Data!Q111=Data!H111,"PASS","FAIL"),IF(AND(ISNUMBER(Data!N111),Data!N111&gt;0,IF(Data!H111&lt;5,Data!P111=Data!H111,Data!P111&gt;=Rules!$B$7)),"PASS","FAIL")))</f>
        <v>FAIL</v>
      </c>
      <c r="H111" s="3" t="str">
        <f aca="false">IF(C111="FIN",IF(AND(ISNUMBER(Data!S111),Data!S111&gt;=Rules!$B$15),"PASS","FAIL"),IF(AND(ISNUMBER(Data!R111),Data!R111&gt;=Rules!$B$8),"PASS","FAIL"))</f>
        <v>PASS</v>
      </c>
      <c r="I111" s="3" t="str">
        <f aca="false">IF(C111="FIN","n/a",IF(C111="UTIL/REIT",IF(AND(Data!U111&lt;=Rules!$B$16,Data!V111&gt;=Rules!$B$17),"PASS","FAIL"),IF(AND(Data!U111&lt;=Rules!$B$9,Data!V111&gt;=Rules!$B$10),"PASS","FAIL")))</f>
        <v>PASS</v>
      </c>
      <c r="J111" s="3" t="str">
        <f aca="false">IF(AND(ISNUMBER(Data!J111),ISNUMBER(Data!K111)),IF(AND(Data!J111&gt;=Rules!$B$11,Data!K111&gt;=Rules!$B$12),"PASS","FAIL"),"FAIL")</f>
        <v>PASS</v>
      </c>
      <c r="K111" s="3" t="str">
        <f aca="false">IF(AND(ISNUMBER(Data!W111),ISNUMBER(Data!X111)),IF(AND(Data!W111&lt;=Rules!$B$13,Data!X111&lt;=Rules!$B$14),"PASS","FAIL"),"FAIL")</f>
        <v>FAIL</v>
      </c>
      <c r="L111" s="4" t="str">
        <f aca="false">IF(F111="FAIL","רווחיות; ","")&amp;IF(G111="FAIL","תזרים; ","")&amp;IF(H111="FAIL","תשואה על ההון; ","")&amp;IF(I111="FAIL","מאזן; ","")&amp;IF(J111="FAIL","צמיחה; ","")&amp;IF(K111="FAIL","דילול; ","")</f>
        <v>רווחיות; תזרים; דילול; </v>
      </c>
      <c r="M111" s="4" t="s">
        <v>26</v>
      </c>
      <c r="N111" s="5" t="n">
        <f aca="false">IF(M111="EXTREME",Rules!$B$23,IF(M111="HIGH",Rules!$B$22,Rules!$B$21))</f>
        <v>0.03</v>
      </c>
      <c r="O111" s="6" t="n">
        <v>46.2820860354067</v>
      </c>
      <c r="P111" s="4" t="s">
        <v>24</v>
      </c>
      <c r="Q111" s="4" t="s">
        <v>25</v>
      </c>
      <c r="R111" s="4" t="str">
        <f aca="false">IF(Q111="כן",P111,"לא רלוונטי (SMA200 יורד)")</f>
        <v>Q2</v>
      </c>
      <c r="S111" s="4" t="str">
        <f aca="false">IF(NOT(ISNUMBER(T111)),"n/a",IF(AND(T111&gt;Rules!$B$18,ISNUMBER(U111),U111&lt;Rules!$B$19),"יקרה",IF(T111&lt;Rules!$B$20,"זולה","הוגנת")))</f>
        <v>הוגנת</v>
      </c>
      <c r="T111" s="7" t="n">
        <f aca="false">Data!AA111</f>
        <v>0.924015616328459</v>
      </c>
      <c r="U111" s="8" t="n">
        <f aca="false">Data!AC111</f>
        <v>-0.27816114816247</v>
      </c>
      <c r="V111" s="9" t="n">
        <v>0.0587</v>
      </c>
      <c r="W111" s="5" t="n">
        <v>-0.8481</v>
      </c>
    </row>
    <row r="112" customFormat="false" ht="15" hidden="false" customHeight="false" outlineLevel="0" collapsed="false">
      <c r="A112" s="2" t="str">
        <f aca="false">Data!A112</f>
        <v>SNOW</v>
      </c>
      <c r="B112" s="2" t="str">
        <f aca="false">Data!B112</f>
        <v>Snowflake Inc.</v>
      </c>
      <c r="C112" s="2" t="str">
        <f aca="false">Data!F112</f>
        <v>STD</v>
      </c>
      <c r="D112" s="3" t="str">
        <f aca="false">IF(E112=0,"CORE",IF(E112=1,"WATCH","NON-CORE"))</f>
        <v>NON-CORE</v>
      </c>
      <c r="E112" s="4" t="n">
        <f aca="false">COUNTIF(F112:K112,"FAIL")</f>
        <v>4</v>
      </c>
      <c r="F112" s="3" t="str">
        <f aca="false">IF(C112="FIN",IF(Data!M112=Data!H112,"PASS","FAIL"),IF(AND(ISNUMBER(Data!L112),Data!L112&gt;=Rules!$B$5,IF(Data!H112&lt;5,Data!M112=Data!H112,Data!M112&gt;=Rules!$B$6)),"PASS","FAIL"))</f>
        <v>FAIL</v>
      </c>
      <c r="G112" s="3" t="str">
        <f aca="false">IF(C112="FIN","n/a",IF(C112="UTIL/REIT",IF(Data!Q112=Data!H112,"PASS","FAIL"),IF(AND(ISNUMBER(Data!N112),Data!N112&gt;0,IF(Data!H112&lt;5,Data!P112=Data!H112,Data!P112&gt;=Rules!$B$7)),"PASS","FAIL")))</f>
        <v>PASS</v>
      </c>
      <c r="H112" s="3" t="str">
        <f aca="false">IF(C112="FIN",IF(AND(ISNUMBER(Data!S112),Data!S112&gt;=Rules!$B$15),"PASS","FAIL"),IF(AND(ISNUMBER(Data!R112),Data!R112&gt;=Rules!$B$8),"PASS","FAIL"))</f>
        <v>FAIL</v>
      </c>
      <c r="I112" s="3" t="str">
        <f aca="false">IF(C112="FIN","n/a",IF(C112="UTIL/REIT",IF(AND(Data!U112&lt;=Rules!$B$16,Data!V112&gt;=Rules!$B$17),"PASS","FAIL"),IF(AND(Data!U112&lt;=Rules!$B$9,Data!V112&gt;=Rules!$B$10),"PASS","FAIL")))</f>
        <v>FAIL</v>
      </c>
      <c r="J112" s="3" t="str">
        <f aca="false">IF(AND(ISNUMBER(Data!J112),ISNUMBER(Data!K112)),IF(AND(Data!J112&gt;=Rules!$B$11,Data!K112&gt;=Rules!$B$12),"PASS","FAIL"),"FAIL")</f>
        <v>PASS</v>
      </c>
      <c r="K112" s="3" t="str">
        <f aca="false">IF(AND(ISNUMBER(Data!W112),ISNUMBER(Data!X112)),IF(AND(Data!W112&lt;=Rules!$B$13,Data!X112&lt;=Rules!$B$14),"PASS","FAIL"),"FAIL")</f>
        <v>FAIL</v>
      </c>
      <c r="L112" s="4" t="str">
        <f aca="false">IF(F112="FAIL","רווחיות; ","")&amp;IF(G112="FAIL","תזרים; ","")&amp;IF(H112="FAIL","תשואה על ההון; ","")&amp;IF(I112="FAIL","מאזן; ","")&amp;IF(J112="FAIL","צמיחה; ","")&amp;IF(K112="FAIL","דילול; ","")</f>
        <v>רווחיות; תשואה על ההון; מאזן; דילול; </v>
      </c>
      <c r="M112" s="4" t="s">
        <v>26</v>
      </c>
      <c r="N112" s="5" t="n">
        <f aca="false">IF(M112="EXTREME",Rules!$B$23,IF(M112="HIGH",Rules!$B$22,Rules!$B$21))</f>
        <v>0.03</v>
      </c>
      <c r="O112" s="6" t="n">
        <v>10.2415948940613</v>
      </c>
      <c r="P112" s="4" t="s">
        <v>32</v>
      </c>
      <c r="Q112" s="4" t="s">
        <v>25</v>
      </c>
      <c r="R112" s="4" t="str">
        <f aca="false">IF(Q112="כן",P112,"לא רלוונטי (SMA200 יורד)")</f>
        <v>Q1</v>
      </c>
      <c r="S112" s="4" t="str">
        <f aca="false">IF(NOT(ISNUMBER(T112)),"n/a",IF(AND(T112&gt;Rules!$B$18,ISNUMBER(U112),U112&lt;Rules!$B$19),"יקרה",IF(T112&lt;Rules!$B$20,"זולה","הוגנת")))</f>
        <v>n/a</v>
      </c>
      <c r="T112" s="7" t="str">
        <f aca="false">Data!AA112</f>
        <v/>
      </c>
      <c r="U112" s="8" t="n">
        <f aca="false">Data!AC112</f>
        <v>0.00952695993029554</v>
      </c>
      <c r="V112" s="9" t="n">
        <v>0.0436</v>
      </c>
      <c r="W112" s="5" t="n">
        <v>-0.7298</v>
      </c>
    </row>
    <row r="113" customFormat="false" ht="15" hidden="false" customHeight="false" outlineLevel="0" collapsed="false">
      <c r="A113" s="2" t="str">
        <f aca="false">Data!A113</f>
        <v>SO</v>
      </c>
      <c r="B113" s="2" t="str">
        <f aca="false">Data!B113</f>
        <v>Southern Co.</v>
      </c>
      <c r="C113" s="2" t="str">
        <f aca="false">Data!F113</f>
        <v>UTIL/REIT</v>
      </c>
      <c r="D113" s="3" t="str">
        <f aca="false">IF(E113=0,"CORE",IF(E113=1,"WATCH","NON-CORE"))</f>
        <v>NON-CORE</v>
      </c>
      <c r="E113" s="4" t="n">
        <f aca="false">COUNTIF(F113:K113,"FAIL")</f>
        <v>2</v>
      </c>
      <c r="F113" s="3" t="str">
        <f aca="false">IF(C113="FIN",IF(Data!M113=Data!H113,"PASS","FAIL"),IF(AND(ISNUMBER(Data!L113),Data!L113&gt;=Rules!$B$5,IF(Data!H113&lt;5,Data!M113=Data!H113,Data!M113&gt;=Rules!$B$6)),"PASS","FAIL"))</f>
        <v>PASS</v>
      </c>
      <c r="G113" s="3" t="str">
        <f aca="false">IF(C113="FIN","n/a",IF(C113="UTIL/REIT",IF(Data!Q113=Data!H113,"PASS","FAIL"),IF(AND(ISNUMBER(Data!N113),Data!N113&gt;0,IF(Data!H113&lt;5,Data!P113=Data!H113,Data!P113&gt;=Rules!$B$7)),"PASS","FAIL")))</f>
        <v>PASS</v>
      </c>
      <c r="H113" s="3" t="str">
        <f aca="false">IF(C113="FIN",IF(AND(ISNUMBER(Data!S113),Data!S113&gt;=Rules!$B$15),"PASS","FAIL"),IF(AND(ISNUMBER(Data!R113),Data!R113&gt;=Rules!$B$8),"PASS","FAIL"))</f>
        <v>FAIL</v>
      </c>
      <c r="I113" s="3" t="str">
        <f aca="false">IF(C113="FIN","n/a",IF(C113="UTIL/REIT",IF(AND(Data!U113&lt;=Rules!$B$16,Data!V113&gt;=Rules!$B$17),"PASS","FAIL"),IF(AND(Data!U113&lt;=Rules!$B$9,Data!V113&gt;=Rules!$B$10),"PASS","FAIL")))</f>
        <v>PASS</v>
      </c>
      <c r="J113" s="3" t="str">
        <f aca="false">IF(AND(ISNUMBER(Data!J113),ISNUMBER(Data!K113)),IF(AND(Data!J113&gt;=Rules!$B$11,Data!K113&gt;=Rules!$B$12),"PASS","FAIL"),"FAIL")</f>
        <v>FAIL</v>
      </c>
      <c r="K113" s="3" t="str">
        <f aca="false">IF(AND(ISNUMBER(Data!W113),ISNUMBER(Data!X113)),IF(AND(Data!W113&lt;=Rules!$B$13,Data!X113&lt;=Rules!$B$14),"PASS","FAIL"),"FAIL")</f>
        <v>PASS</v>
      </c>
      <c r="L113" s="4" t="str">
        <f aca="false">IF(F113="FAIL","רווחיות; ","")&amp;IF(G113="FAIL","תזרים; ","")&amp;IF(H113="FAIL","תשואה על ההון; ","")&amp;IF(I113="FAIL","מאזן; ","")&amp;IF(J113="FAIL","צמיחה; ","")&amp;IF(K113="FAIL","דילול; ","")</f>
        <v>תשואה על ההון; צמיחה; </v>
      </c>
      <c r="M113" s="4" t="s">
        <v>29</v>
      </c>
      <c r="N113" s="5" t="n">
        <f aca="false">IF(M113="EXTREME",Rules!$B$23,IF(M113="HIGH",Rules!$B$22,Rules!$B$21))</f>
        <v>0.1</v>
      </c>
      <c r="O113" s="6" t="n">
        <v>95.8993568101728</v>
      </c>
      <c r="P113" s="4" t="s">
        <v>30</v>
      </c>
      <c r="Q113" s="4" t="s">
        <v>28</v>
      </c>
      <c r="R113" s="4" t="str">
        <f aca="false">IF(Q113="כן",P113,"לא רלוונטי (SMA200 יורד)")</f>
        <v>לא רלוונטי (SMA200 יורד)</v>
      </c>
      <c r="S113" s="4" t="str">
        <f aca="false">IF(NOT(ISNUMBER(T113)),"n/a",IF(AND(T113&gt;Rules!$B$18,ISNUMBER(U113),U113&lt;Rules!$B$19),"יקרה",IF(T113&lt;Rules!$B$20,"זולה","הוגנת")))</f>
        <v>הוגנת</v>
      </c>
      <c r="T113" s="7" t="n">
        <f aca="false">Data!AA113</f>
        <v>0.953005191421712</v>
      </c>
      <c r="U113" s="8" t="n">
        <f aca="false">Data!AC113</f>
        <v>0.0256090121682958</v>
      </c>
      <c r="V113" s="9" t="n">
        <v>0.0164</v>
      </c>
      <c r="W113" s="5" t="n">
        <v>-0.2329</v>
      </c>
    </row>
    <row r="114" customFormat="false" ht="15" hidden="false" customHeight="false" outlineLevel="0" collapsed="false">
      <c r="A114" s="2" t="str">
        <f aca="false">Data!A114</f>
        <v>SOFI</v>
      </c>
      <c r="B114" s="2" t="str">
        <f aca="false">Data!B114</f>
        <v>SoFi Technologies Inc.</v>
      </c>
      <c r="C114" s="2" t="str">
        <f aca="false">Data!F114</f>
        <v>FIN</v>
      </c>
      <c r="D114" s="3" t="str">
        <f aca="false">IF(E114=0,"CORE",IF(E114=1,"WATCH","NON-CORE"))</f>
        <v>NON-CORE</v>
      </c>
      <c r="E114" s="4" t="n">
        <f aca="false">COUNTIF(F114:K114,"FAIL")</f>
        <v>3</v>
      </c>
      <c r="F114" s="3" t="str">
        <f aca="false">IF(C114="FIN",IF(Data!M114=Data!H114,"PASS","FAIL"),IF(AND(ISNUMBER(Data!L114),Data!L114&gt;=Rules!$B$5,IF(Data!H114&lt;5,Data!M114=Data!H114,Data!M114&gt;=Rules!$B$6)),"PASS","FAIL"))</f>
        <v>FAIL</v>
      </c>
      <c r="G114" s="3" t="str">
        <f aca="false">IF(C114="FIN","n/a",IF(C114="UTIL/REIT",IF(Data!Q114=Data!H114,"PASS","FAIL"),IF(AND(ISNUMBER(Data!N114),Data!N114&gt;0,IF(Data!H114&lt;5,Data!P114=Data!H114,Data!P114&gt;=Rules!$B$7)),"PASS","FAIL")))</f>
        <v>n/a</v>
      </c>
      <c r="H114" s="3" t="str">
        <f aca="false">IF(C114="FIN",IF(AND(ISNUMBER(Data!S114),Data!S114&gt;=Rules!$B$15),"PASS","FAIL"),IF(AND(ISNUMBER(Data!R114),Data!R114&gt;=Rules!$B$8),"PASS","FAIL"))</f>
        <v>FAIL</v>
      </c>
      <c r="I114" s="3" t="str">
        <f aca="false">IF(C114="FIN","n/a",IF(C114="UTIL/REIT",IF(AND(Data!U114&lt;=Rules!$B$16,Data!V114&gt;=Rules!$B$17),"PASS","FAIL"),IF(AND(Data!U114&lt;=Rules!$B$9,Data!V114&gt;=Rules!$B$10),"PASS","FAIL")))</f>
        <v>n/a</v>
      </c>
      <c r="J114" s="3" t="str">
        <f aca="false">IF(AND(ISNUMBER(Data!J114),ISNUMBER(Data!K114)),IF(AND(Data!J114&gt;=Rules!$B$11,Data!K114&gt;=Rules!$B$12),"PASS","FAIL"),"FAIL")</f>
        <v>PASS</v>
      </c>
      <c r="K114" s="3" t="str">
        <f aca="false">IF(AND(ISNUMBER(Data!W114),ISNUMBER(Data!X114)),IF(AND(Data!W114&lt;=Rules!$B$13,Data!X114&lt;=Rules!$B$14),"PASS","FAIL"),"FAIL")</f>
        <v>FAIL</v>
      </c>
      <c r="L114" s="4" t="str">
        <f aca="false">IF(F114="FAIL","רווחיות; ","")&amp;IF(G114="FAIL","תזרים; ","")&amp;IF(H114="FAIL","תשואה על ההון; ","")&amp;IF(I114="FAIL","מאזן; ","")&amp;IF(J114="FAIL","צמיחה; ","")&amp;IF(K114="FAIL","דילול; ","")</f>
        <v>רווחיות; תשואה על ההון; דילול; </v>
      </c>
      <c r="M114" s="4" t="s">
        <v>26</v>
      </c>
      <c r="N114" s="5" t="n">
        <f aca="false">IF(M114="EXTREME",Rules!$B$23,IF(M114="HIGH",Rules!$B$22,Rules!$B$21))</f>
        <v>0.03</v>
      </c>
      <c r="O114" s="6" t="n">
        <v>84.4438294153664</v>
      </c>
      <c r="P114" s="4" t="s">
        <v>30</v>
      </c>
      <c r="Q114" s="4" t="s">
        <v>28</v>
      </c>
      <c r="R114" s="4" t="str">
        <f aca="false">IF(Q114="כן",P114,"לא רלוונטי (SMA200 יורד)")</f>
        <v>לא רלוונטי (SMA200 יורד)</v>
      </c>
      <c r="S114" s="4" t="str">
        <f aca="false">IF(NOT(ISNUMBER(T114)),"n/a",IF(AND(T114&gt;Rules!$B$18,ISNUMBER(U114),U114&lt;Rules!$B$19),"יקרה",IF(T114&lt;Rules!$B$20,"זולה","הוגנת")))</f>
        <v>זולה</v>
      </c>
      <c r="T114" s="7" t="n">
        <f aca="false">Data!AA114</f>
        <v>0.620089512132186</v>
      </c>
      <c r="U114" s="8" t="n">
        <f aca="false">Data!AC114</f>
        <v>-0.256494619011459</v>
      </c>
      <c r="V114" s="9" t="n">
        <v>0.0415</v>
      </c>
      <c r="W114" s="5" t="n">
        <v>-0.815</v>
      </c>
    </row>
    <row r="115" customFormat="false" ht="15" hidden="false" customHeight="false" outlineLevel="0" collapsed="false">
      <c r="A115" s="2" t="str">
        <f aca="false">Data!A115</f>
        <v>T</v>
      </c>
      <c r="B115" s="2" t="str">
        <f aca="false">Data!B115</f>
        <v>AT&amp;T Inc.</v>
      </c>
      <c r="C115" s="2" t="str">
        <f aca="false">Data!F115</f>
        <v>STD</v>
      </c>
      <c r="D115" s="3" t="str">
        <f aca="false">IF(E115=0,"CORE",IF(E115=1,"WATCH","NON-CORE"))</f>
        <v>NON-CORE</v>
      </c>
      <c r="E115" s="4" t="n">
        <f aca="false">COUNTIF(F115:K115,"FAIL")</f>
        <v>3</v>
      </c>
      <c r="F115" s="3" t="str">
        <f aca="false">IF(C115="FIN",IF(Data!M115=Data!H115,"PASS","FAIL"),IF(AND(ISNUMBER(Data!L115),Data!L115&gt;=Rules!$B$5,IF(Data!H115&lt;5,Data!M115=Data!H115,Data!M115&gt;=Rules!$B$6)),"PASS","FAIL"))</f>
        <v>PASS</v>
      </c>
      <c r="G115" s="3" t="str">
        <f aca="false">IF(C115="FIN","n/a",IF(C115="UTIL/REIT",IF(Data!Q115=Data!H115,"PASS","FAIL"),IF(AND(ISNUMBER(Data!N115),Data!N115&gt;0,IF(Data!H115&lt;5,Data!P115=Data!H115,Data!P115&gt;=Rules!$B$7)),"PASS","FAIL")))</f>
        <v>PASS</v>
      </c>
      <c r="H115" s="3" t="str">
        <f aca="false">IF(C115="FIN",IF(AND(ISNUMBER(Data!S115),Data!S115&gt;=Rules!$B$15),"PASS","FAIL"),IF(AND(ISNUMBER(Data!R115),Data!R115&gt;=Rules!$B$8),"PASS","FAIL"))</f>
        <v>FAIL</v>
      </c>
      <c r="I115" s="3" t="str">
        <f aca="false">IF(C115="FIN","n/a",IF(C115="UTIL/REIT",IF(AND(Data!U115&lt;=Rules!$B$16,Data!V115&gt;=Rules!$B$17),"PASS","FAIL"),IF(AND(Data!U115&lt;=Rules!$B$9,Data!V115&gt;=Rules!$B$10),"PASS","FAIL")))</f>
        <v>FAIL</v>
      </c>
      <c r="J115" s="3" t="str">
        <f aca="false">IF(AND(ISNUMBER(Data!J115),ISNUMBER(Data!K115)),IF(AND(Data!J115&gt;=Rules!$B$11,Data!K115&gt;=Rules!$B$12),"PASS","FAIL"),"FAIL")</f>
        <v>FAIL</v>
      </c>
      <c r="K115" s="3" t="str">
        <f aca="false">IF(AND(ISNUMBER(Data!W115),ISNUMBER(Data!X115)),IF(AND(Data!W115&lt;=Rules!$B$13,Data!X115&lt;=Rules!$B$14),"PASS","FAIL"),"FAIL")</f>
        <v>PASS</v>
      </c>
      <c r="L115" s="4" t="str">
        <f aca="false">IF(F115="FAIL","רווחיות; ","")&amp;IF(G115="FAIL","תזרים; ","")&amp;IF(H115="FAIL","תשואה על ההון; ","")&amp;IF(I115="FAIL","מאזן; ","")&amp;IF(J115="FAIL","צמיחה; ","")&amp;IF(K115="FAIL","דילול; ","")</f>
        <v>תשואה על ההון; מאזן; צמיחה; </v>
      </c>
      <c r="M115" s="4" t="s">
        <v>23</v>
      </c>
      <c r="N115" s="5" t="n">
        <f aca="false">IF(M115="EXTREME",Rules!$B$23,IF(M115="HIGH",Rules!$B$22,Rules!$B$21))</f>
        <v>0.06</v>
      </c>
      <c r="O115" s="6" t="n">
        <v>59.3039313627549</v>
      </c>
      <c r="P115" s="4" t="s">
        <v>27</v>
      </c>
      <c r="Q115" s="4" t="s">
        <v>25</v>
      </c>
      <c r="R115" s="4" t="str">
        <f aca="false">IF(Q115="כן",P115,"לא רלוונטי (SMA200 יורד)")</f>
        <v>Q3</v>
      </c>
      <c r="S115" s="4" t="str">
        <f aca="false">IF(NOT(ISNUMBER(T115)),"n/a",IF(AND(T115&gt;Rules!$B$18,ISNUMBER(U115),U115&lt;Rules!$B$19),"יקרה",IF(T115&lt;Rules!$B$20,"זולה","הוגנת")))</f>
        <v>הוגנת</v>
      </c>
      <c r="T115" s="7" t="n">
        <f aca="false">Data!AA115</f>
        <v>0.904694556974958</v>
      </c>
      <c r="U115" s="8" t="n">
        <f aca="false">Data!AC115</f>
        <v>0.114503439270418</v>
      </c>
      <c r="V115" s="9" t="n">
        <v>0.0227</v>
      </c>
      <c r="W115" s="5" t="n">
        <v>-0.508</v>
      </c>
    </row>
    <row r="116" customFormat="false" ht="15" hidden="false" customHeight="false" outlineLevel="0" collapsed="false">
      <c r="A116" s="2" t="str">
        <f aca="false">Data!A116</f>
        <v>TMUS</v>
      </c>
      <c r="B116" s="2" t="str">
        <f aca="false">Data!B116</f>
        <v>T-Mobile US Inc.</v>
      </c>
      <c r="C116" s="2" t="str">
        <f aca="false">Data!F116</f>
        <v>STD</v>
      </c>
      <c r="D116" s="3" t="str">
        <f aca="false">IF(E116=0,"CORE",IF(E116=1,"WATCH","NON-CORE"))</f>
        <v>NON-CORE</v>
      </c>
      <c r="E116" s="4" t="n">
        <f aca="false">COUNTIF(F116:K116,"FAIL")</f>
        <v>3</v>
      </c>
      <c r="F116" s="3" t="str">
        <f aca="false">IF(C116="FIN",IF(Data!M116=Data!H116,"PASS","FAIL"),IF(AND(ISNUMBER(Data!L116),Data!L116&gt;=Rules!$B$5,IF(Data!H116&lt;5,Data!M116=Data!H116,Data!M116&gt;=Rules!$B$6)),"PASS","FAIL"))</f>
        <v>PASS</v>
      </c>
      <c r="G116" s="3" t="str">
        <f aca="false">IF(C116="FIN","n/a",IF(C116="UTIL/REIT",IF(Data!Q116=Data!H116,"PASS","FAIL"),IF(AND(ISNUMBER(Data!N116),Data!N116&gt;0,IF(Data!H116&lt;5,Data!P116=Data!H116,Data!P116&gt;=Rules!$B$7)),"PASS","FAIL")))</f>
        <v>FAIL</v>
      </c>
      <c r="H116" s="3" t="str">
        <f aca="false">IF(C116="FIN",IF(AND(ISNUMBER(Data!S116),Data!S116&gt;=Rules!$B$15),"PASS","FAIL"),IF(AND(ISNUMBER(Data!R116),Data!R116&gt;=Rules!$B$8),"PASS","FAIL"))</f>
        <v>FAIL</v>
      </c>
      <c r="I116" s="3" t="str">
        <f aca="false">IF(C116="FIN","n/a",IF(C116="UTIL/REIT",IF(AND(Data!U116&lt;=Rules!$B$16,Data!V116&gt;=Rules!$B$17),"PASS","FAIL"),IF(AND(Data!U116&lt;=Rules!$B$9,Data!V116&gt;=Rules!$B$10),"PASS","FAIL")))</f>
        <v>FAIL</v>
      </c>
      <c r="J116" s="3" t="str">
        <f aca="false">IF(AND(ISNUMBER(Data!J116),ISNUMBER(Data!K116)),IF(AND(Data!J116&gt;=Rules!$B$11,Data!K116&gt;=Rules!$B$12),"PASS","FAIL"),"FAIL")</f>
        <v>PASS</v>
      </c>
      <c r="K116" s="3" t="str">
        <f aca="false">IF(AND(ISNUMBER(Data!W116),ISNUMBER(Data!X116)),IF(AND(Data!W116&lt;=Rules!$B$13,Data!X116&lt;=Rules!$B$14),"PASS","FAIL"),"FAIL")</f>
        <v>PASS</v>
      </c>
      <c r="L116" s="4" t="str">
        <f aca="false">IF(F116="FAIL","רווחיות; ","")&amp;IF(G116="FAIL","תזרים; ","")&amp;IF(H116="FAIL","תשואה על ההון; ","")&amp;IF(I116="FAIL","מאזן; ","")&amp;IF(J116="FAIL","צמיחה; ","")&amp;IF(K116="FAIL","דילול; ","")</f>
        <v>תזרים; תשואה על ההון; מאזן; </v>
      </c>
      <c r="M116" s="4" t="s">
        <v>29</v>
      </c>
      <c r="N116" s="5" t="n">
        <f aca="false">IF(M116="EXTREME",Rules!$B$23,IF(M116="HIGH",Rules!$B$22,Rules!$B$21))</f>
        <v>0.1</v>
      </c>
      <c r="O116" s="6" t="n">
        <v>97.4056778136475</v>
      </c>
      <c r="P116" s="4" t="s">
        <v>30</v>
      </c>
      <c r="Q116" s="4" t="s">
        <v>28</v>
      </c>
      <c r="R116" s="4" t="str">
        <f aca="false">IF(Q116="כן",P116,"לא רלוונטי (SMA200 יורד)")</f>
        <v>לא רלוונטי (SMA200 יורד)</v>
      </c>
      <c r="S116" s="4" t="str">
        <f aca="false">IF(NOT(ISNUMBER(T116)),"n/a",IF(AND(T116&gt;Rules!$B$18,ISNUMBER(U116),U116&lt;Rules!$B$19),"יקרה",IF(T116&lt;Rules!$B$20,"זולה","הוגנת")))</f>
        <v>זולה</v>
      </c>
      <c r="T116" s="7" t="n">
        <f aca="false">Data!AA116</f>
        <v>0.700143766633719</v>
      </c>
      <c r="U116" s="8" t="n">
        <f aca="false">Data!AC116</f>
        <v>0.0963409989266313</v>
      </c>
      <c r="V116" s="9" t="n">
        <v>0.0273</v>
      </c>
      <c r="W116" s="5" t="n">
        <v>-0.405</v>
      </c>
    </row>
    <row r="117" customFormat="false" ht="15" hidden="false" customHeight="false" outlineLevel="0" collapsed="false">
      <c r="A117" s="2" t="str">
        <f aca="false">Data!A117</f>
        <v>TSLA</v>
      </c>
      <c r="B117" s="2" t="str">
        <f aca="false">Data!B117</f>
        <v>Tesla Inc.</v>
      </c>
      <c r="C117" s="2" t="str">
        <f aca="false">Data!F117</f>
        <v>STD</v>
      </c>
      <c r="D117" s="3" t="str">
        <f aca="false">IF(E117=0,"CORE",IF(E117=1,"WATCH","NON-CORE"))</f>
        <v>NON-CORE</v>
      </c>
      <c r="E117" s="4" t="n">
        <f aca="false">COUNTIF(F117:K117,"FAIL")</f>
        <v>2</v>
      </c>
      <c r="F117" s="3" t="str">
        <f aca="false">IF(C117="FIN",IF(Data!M117=Data!H117,"PASS","FAIL"),IF(AND(ISNUMBER(Data!L117),Data!L117&gt;=Rules!$B$5,IF(Data!H117&lt;5,Data!M117=Data!H117,Data!M117&gt;=Rules!$B$6)),"PASS","FAIL"))</f>
        <v>FAIL</v>
      </c>
      <c r="G117" s="3" t="str">
        <f aca="false">IF(C117="FIN","n/a",IF(C117="UTIL/REIT",IF(Data!Q117=Data!H117,"PASS","FAIL"),IF(AND(ISNUMBER(Data!N117),Data!N117&gt;0,IF(Data!H117&lt;5,Data!P117=Data!H117,Data!P117&gt;=Rules!$B$7)),"PASS","FAIL")))</f>
        <v>PASS</v>
      </c>
      <c r="H117" s="3" t="str">
        <f aca="false">IF(C117="FIN",IF(AND(ISNUMBER(Data!S117),Data!S117&gt;=Rules!$B$15),"PASS","FAIL"),IF(AND(ISNUMBER(Data!R117),Data!R117&gt;=Rules!$B$8),"PASS","FAIL"))</f>
        <v>FAIL</v>
      </c>
      <c r="I117" s="3" t="str">
        <f aca="false">IF(C117="FIN","n/a",IF(C117="UTIL/REIT",IF(AND(Data!U117&lt;=Rules!$B$16,Data!V117&gt;=Rules!$B$17),"PASS","FAIL"),IF(AND(Data!U117&lt;=Rules!$B$9,Data!V117&gt;=Rules!$B$10),"PASS","FAIL")))</f>
        <v>PASS</v>
      </c>
      <c r="J117" s="3" t="str">
        <f aca="false">IF(AND(ISNUMBER(Data!J117),ISNUMBER(Data!K117)),IF(AND(Data!J117&gt;=Rules!$B$11,Data!K117&gt;=Rules!$B$12),"PASS","FAIL"),"FAIL")</f>
        <v>PASS</v>
      </c>
      <c r="K117" s="3" t="str">
        <f aca="false">IF(AND(ISNUMBER(Data!W117),ISNUMBER(Data!X117)),IF(AND(Data!W117&lt;=Rules!$B$13,Data!X117&lt;=Rules!$B$14),"PASS","FAIL"),"FAIL")</f>
        <v>PASS</v>
      </c>
      <c r="L117" s="4" t="str">
        <f aca="false">IF(F117="FAIL","רווחיות; ","")&amp;IF(G117="FAIL","תזרים; ","")&amp;IF(H117="FAIL","תשואה על ההון; ","")&amp;IF(I117="FAIL","מאזן; ","")&amp;IF(J117="FAIL","צמיחה; ","")&amp;IF(K117="FAIL","דילול; ","")</f>
        <v>רווחיות; תשואה על ההון; </v>
      </c>
      <c r="M117" s="4" t="s">
        <v>26</v>
      </c>
      <c r="N117" s="5" t="n">
        <f aca="false">IF(M117="EXTREME",Rules!$B$23,IF(M117="HIGH",Rules!$B$22,Rules!$B$21))</f>
        <v>0.03</v>
      </c>
      <c r="O117" s="6" t="n">
        <v>61.4506461280655</v>
      </c>
      <c r="P117" s="4" t="s">
        <v>27</v>
      </c>
      <c r="Q117" s="4" t="s">
        <v>28</v>
      </c>
      <c r="R117" s="4" t="str">
        <f aca="false">IF(Q117="כן",P117,"לא רלוונטי (SMA200 יורד)")</f>
        <v>לא רלוונטי (SMA200 יורד)</v>
      </c>
      <c r="S117" s="4" t="str">
        <f aca="false">IF(NOT(ISNUMBER(T117)),"n/a",IF(AND(T117&gt;Rules!$B$18,ISNUMBER(U117),U117&lt;Rules!$B$19),"יקרה",IF(T117&lt;Rules!$B$20,"זולה","הוגנת")))</f>
        <v>יקרה</v>
      </c>
      <c r="T117" s="7" t="n">
        <f aca="false">Data!AA117</f>
        <v>1.7542779318542</v>
      </c>
      <c r="U117" s="8" t="n">
        <f aca="false">Data!AC117</f>
        <v>0.00385922107682222</v>
      </c>
      <c r="V117" s="9" t="n">
        <v>0.0332</v>
      </c>
      <c r="W117" s="5" t="n">
        <v>-0.7364</v>
      </c>
    </row>
    <row r="118" customFormat="false" ht="15" hidden="false" customHeight="false" outlineLevel="0" collapsed="false">
      <c r="A118" s="2" t="str">
        <f aca="false">Data!A118</f>
        <v>UBER</v>
      </c>
      <c r="B118" s="2" t="str">
        <f aca="false">Data!B118</f>
        <v>Uber Technologies Inc.</v>
      </c>
      <c r="C118" s="2" t="str">
        <f aca="false">Data!F118</f>
        <v>STD</v>
      </c>
      <c r="D118" s="3" t="str">
        <f aca="false">IF(E118=0,"CORE",IF(E118=1,"WATCH","NON-CORE"))</f>
        <v>NON-CORE</v>
      </c>
      <c r="E118" s="4" t="n">
        <f aca="false">COUNTIF(F118:K118,"FAIL")</f>
        <v>2</v>
      </c>
      <c r="F118" s="3" t="str">
        <f aca="false">IF(C118="FIN",IF(Data!M118=Data!H118,"PASS","FAIL"),IF(AND(ISNUMBER(Data!L118),Data!L118&gt;=Rules!$B$5,IF(Data!H118&lt;5,Data!M118=Data!H118,Data!M118&gt;=Rules!$B$6)),"PASS","FAIL"))</f>
        <v>FAIL</v>
      </c>
      <c r="G118" s="3" t="str">
        <f aca="false">IF(C118="FIN","n/a",IF(C118="UTIL/REIT",IF(Data!Q118=Data!H118,"PASS","FAIL"),IF(AND(ISNUMBER(Data!N118),Data!N118&gt;0,IF(Data!H118&lt;5,Data!P118=Data!H118,Data!P118&gt;=Rules!$B$7)),"PASS","FAIL")))</f>
        <v>PASS</v>
      </c>
      <c r="H118" s="3" t="str">
        <f aca="false">IF(C118="FIN",IF(AND(ISNUMBER(Data!S118),Data!S118&gt;=Rules!$B$15),"PASS","FAIL"),IF(AND(ISNUMBER(Data!R118),Data!R118&gt;=Rules!$B$8),"PASS","FAIL"))</f>
        <v>PASS</v>
      </c>
      <c r="I118" s="3" t="str">
        <f aca="false">IF(C118="FIN","n/a",IF(C118="UTIL/REIT",IF(AND(Data!U118&lt;=Rules!$B$16,Data!V118&gt;=Rules!$B$17),"PASS","FAIL"),IF(AND(Data!U118&lt;=Rules!$B$9,Data!V118&gt;=Rules!$B$10),"PASS","FAIL")))</f>
        <v>PASS</v>
      </c>
      <c r="J118" s="3" t="str">
        <f aca="false">IF(AND(ISNUMBER(Data!J118),ISNUMBER(Data!K118)),IF(AND(Data!J118&gt;=Rules!$B$11,Data!K118&gt;=Rules!$B$12),"PASS","FAIL"),"FAIL")</f>
        <v>PASS</v>
      </c>
      <c r="K118" s="3" t="str">
        <f aca="false">IF(AND(ISNUMBER(Data!W118),ISNUMBER(Data!X118)),IF(AND(Data!W118&lt;=Rules!$B$13,Data!X118&lt;=Rules!$B$14),"PASS","FAIL"),"FAIL")</f>
        <v>FAIL</v>
      </c>
      <c r="L118" s="4" t="str">
        <f aca="false">IF(F118="FAIL","רווחיות; ","")&amp;IF(G118="FAIL","תזרים; ","")&amp;IF(H118="FAIL","תשואה על ההון; ","")&amp;IF(I118="FAIL","מאזן; ","")&amp;IF(J118="FAIL","צמיחה; ","")&amp;IF(K118="FAIL","דילול; ","")</f>
        <v>רווחיות; דילול; </v>
      </c>
      <c r="M118" s="4" t="s">
        <v>23</v>
      </c>
      <c r="N118" s="5" t="n">
        <f aca="false">IF(M118="EXTREME",Rules!$B$23,IF(M118="HIGH",Rules!$B$22,Rules!$B$21))</f>
        <v>0.06</v>
      </c>
      <c r="O118" s="6" t="n">
        <v>87.0481984808361</v>
      </c>
      <c r="P118" s="4" t="s">
        <v>30</v>
      </c>
      <c r="Q118" s="4" t="s">
        <v>28</v>
      </c>
      <c r="R118" s="4" t="str">
        <f aca="false">IF(Q118="כן",P118,"לא רלוונטי (SMA200 יורד)")</f>
        <v>לא רלוונטי (SMA200 יורד)</v>
      </c>
      <c r="S118" s="4" t="str">
        <f aca="false">IF(NOT(ISNUMBER(T118)),"n/a",IF(AND(T118&gt;Rules!$B$18,ISNUMBER(U118),U118&lt;Rules!$B$19),"יקרה",IF(T118&lt;Rules!$B$20,"זולה","הוגנת")))</f>
        <v>הוגנת</v>
      </c>
      <c r="T118" s="7" t="n">
        <f aca="false">Data!AA118</f>
        <v>0.908290839462007</v>
      </c>
      <c r="U118" s="8" t="n">
        <f aca="false">Data!AC118</f>
        <v>0.069707978989049</v>
      </c>
      <c r="V118" s="9" t="n">
        <v>0.0298</v>
      </c>
      <c r="W118" s="5" t="n">
        <v>-0.5766</v>
      </c>
    </row>
    <row r="119" customFormat="false" ht="15" hidden="false" customHeight="false" outlineLevel="0" collapsed="false">
      <c r="A119" s="2" t="str">
        <f aca="false">Data!A119</f>
        <v>UNH</v>
      </c>
      <c r="B119" s="2" t="str">
        <f aca="false">Data!B119</f>
        <v>UnitedHealth Group Inc.</v>
      </c>
      <c r="C119" s="2" t="str">
        <f aca="false">Data!F119</f>
        <v>STD</v>
      </c>
      <c r="D119" s="3" t="str">
        <f aca="false">IF(E119=0,"CORE",IF(E119=1,"WATCH","NON-CORE"))</f>
        <v>NON-CORE</v>
      </c>
      <c r="E119" s="4" t="n">
        <f aca="false">COUNTIF(F119:K119,"FAIL")</f>
        <v>3</v>
      </c>
      <c r="F119" s="3" t="str">
        <f aca="false">IF(C119="FIN",IF(Data!M119=Data!H119,"PASS","FAIL"),IF(AND(ISNUMBER(Data!L119),Data!L119&gt;=Rules!$B$5,IF(Data!H119&lt;5,Data!M119=Data!H119,Data!M119&gt;=Rules!$B$6)),"PASS","FAIL"))</f>
        <v>FAIL</v>
      </c>
      <c r="G119" s="3" t="str">
        <f aca="false">IF(C119="FIN","n/a",IF(C119="UTIL/REIT",IF(Data!Q119=Data!H119,"PASS","FAIL"),IF(AND(ISNUMBER(Data!N119),Data!N119&gt;0,IF(Data!H119&lt;5,Data!P119=Data!H119,Data!P119&gt;=Rules!$B$7)),"PASS","FAIL")))</f>
        <v>PASS</v>
      </c>
      <c r="H119" s="3" t="str">
        <f aca="false">IF(C119="FIN",IF(AND(ISNUMBER(Data!S119),Data!S119&gt;=Rules!$B$15),"PASS","FAIL"),IF(AND(ISNUMBER(Data!R119),Data!R119&gt;=Rules!$B$8),"PASS","FAIL"))</f>
        <v>FAIL</v>
      </c>
      <c r="I119" s="3" t="str">
        <f aca="false">IF(C119="FIN","n/a",IF(C119="UTIL/REIT",IF(AND(Data!U119&lt;=Rules!$B$16,Data!V119&gt;=Rules!$B$17),"PASS","FAIL"),IF(AND(Data!U119&lt;=Rules!$B$9,Data!V119&gt;=Rules!$B$10),"PASS","FAIL")))</f>
        <v>FAIL</v>
      </c>
      <c r="J119" s="3" t="str">
        <f aca="false">IF(AND(ISNUMBER(Data!J119),ISNUMBER(Data!K119)),IF(AND(Data!J119&gt;=Rules!$B$11,Data!K119&gt;=Rules!$B$12),"PASS","FAIL"),"FAIL")</f>
        <v>PASS</v>
      </c>
      <c r="K119" s="3" t="str">
        <f aca="false">IF(AND(ISNUMBER(Data!W119),ISNUMBER(Data!X119)),IF(AND(Data!W119&lt;=Rules!$B$13,Data!X119&lt;=Rules!$B$14),"PASS","FAIL"),"FAIL")</f>
        <v>PASS</v>
      </c>
      <c r="L119" s="4" t="str">
        <f aca="false">IF(F119="FAIL","רווחיות; ","")&amp;IF(G119="FAIL","תזרים; ","")&amp;IF(H119="FAIL","תשואה על ההון; ","")&amp;IF(I119="FAIL","מאזן; ","")&amp;IF(J119="FAIL","צמיחה; ","")&amp;IF(K119="FAIL","דילול; ","")</f>
        <v>רווחיות; תשואה על ההון; מאזן; </v>
      </c>
      <c r="M119" s="4" t="s">
        <v>23</v>
      </c>
      <c r="N119" s="5" t="n">
        <f aca="false">IF(M119="EXTREME",Rules!$B$23,IF(M119="HIGH",Rules!$B$22,Rules!$B$21))</f>
        <v>0.06</v>
      </c>
      <c r="O119" s="6" t="n">
        <v>51.1883751921703</v>
      </c>
      <c r="P119" s="4" t="s">
        <v>27</v>
      </c>
      <c r="Q119" s="4" t="s">
        <v>25</v>
      </c>
      <c r="R119" s="4" t="str">
        <f aca="false">IF(Q119="כן",P119,"לא רלוונטי (SMA200 יורד)")</f>
        <v>Q3</v>
      </c>
      <c r="S119" s="4" t="str">
        <f aca="false">IF(NOT(ISNUMBER(T119)),"n/a",IF(AND(T119&gt;Rules!$B$18,ISNUMBER(U119),U119&lt;Rules!$B$19),"יקרה",IF(T119&lt;Rules!$B$20,"זולה","הוגנת")))</f>
        <v>הוגנת</v>
      </c>
      <c r="T119" s="7" t="n">
        <f aca="false">Data!AA119</f>
        <v>0.993395433566075</v>
      </c>
      <c r="U119" s="8" t="n">
        <f aca="false">Data!AC119</f>
        <v>0.0674668605286273</v>
      </c>
      <c r="V119" s="9" t="n">
        <v>0.0244</v>
      </c>
      <c r="W119" s="5" t="n">
        <v>-0.6199</v>
      </c>
    </row>
    <row r="120" customFormat="false" ht="15" hidden="false" customHeight="false" outlineLevel="0" collapsed="false">
      <c r="A120" s="2" t="str">
        <f aca="false">Data!A120</f>
        <v>VZ</v>
      </c>
      <c r="B120" s="2" t="str">
        <f aca="false">Data!B120</f>
        <v>Verizon Communications Inc.</v>
      </c>
      <c r="C120" s="2" t="str">
        <f aca="false">Data!F120</f>
        <v>STD</v>
      </c>
      <c r="D120" s="3" t="str">
        <f aca="false">IF(E120=0,"CORE",IF(E120=1,"WATCH","NON-CORE"))</f>
        <v>NON-CORE</v>
      </c>
      <c r="E120" s="4" t="n">
        <f aca="false">COUNTIF(F120:K120,"FAIL")</f>
        <v>3</v>
      </c>
      <c r="F120" s="3" t="str">
        <f aca="false">IF(C120="FIN",IF(Data!M120=Data!H120,"PASS","FAIL"),IF(AND(ISNUMBER(Data!L120),Data!L120&gt;=Rules!$B$5,IF(Data!H120&lt;5,Data!M120=Data!H120,Data!M120&gt;=Rules!$B$6)),"PASS","FAIL"))</f>
        <v>PASS</v>
      </c>
      <c r="G120" s="3" t="str">
        <f aca="false">IF(C120="FIN","n/a",IF(C120="UTIL/REIT",IF(Data!Q120=Data!H120,"PASS","FAIL"),IF(AND(ISNUMBER(Data!N120),Data!N120&gt;0,IF(Data!H120&lt;5,Data!P120=Data!H120,Data!P120&gt;=Rules!$B$7)),"PASS","FAIL")))</f>
        <v>PASS</v>
      </c>
      <c r="H120" s="3" t="str">
        <f aca="false">IF(C120="FIN",IF(AND(ISNUMBER(Data!S120),Data!S120&gt;=Rules!$B$15),"PASS","FAIL"),IF(AND(ISNUMBER(Data!R120),Data!R120&gt;=Rules!$B$8),"PASS","FAIL"))</f>
        <v>FAIL</v>
      </c>
      <c r="I120" s="3" t="str">
        <f aca="false">IF(C120="FIN","n/a",IF(C120="UTIL/REIT",IF(AND(Data!U120&lt;=Rules!$B$16,Data!V120&gt;=Rules!$B$17),"PASS","FAIL"),IF(AND(Data!U120&lt;=Rules!$B$9,Data!V120&gt;=Rules!$B$10),"PASS","FAIL")))</f>
        <v>FAIL</v>
      </c>
      <c r="J120" s="3" t="str">
        <f aca="false">IF(AND(ISNUMBER(Data!J120),ISNUMBER(Data!K120)),IF(AND(Data!J120&gt;=Rules!$B$11,Data!K120&gt;=Rules!$B$12),"PASS","FAIL"),"FAIL")</f>
        <v>FAIL</v>
      </c>
      <c r="K120" s="3" t="str">
        <f aca="false">IF(AND(ISNUMBER(Data!W120),ISNUMBER(Data!X120)),IF(AND(Data!W120&lt;=Rules!$B$13,Data!X120&lt;=Rules!$B$14),"PASS","FAIL"),"FAIL")</f>
        <v>PASS</v>
      </c>
      <c r="L120" s="4" t="str">
        <f aca="false">IF(F120="FAIL","רווחיות; ","")&amp;IF(G120="FAIL","תזרים; ","")&amp;IF(H120="FAIL","תשואה על ההון; ","")&amp;IF(I120="FAIL","מאזן; ","")&amp;IF(J120="FAIL","צמיחה; ","")&amp;IF(K120="FAIL","דילול; ","")</f>
        <v>תשואה על ההון; מאזן; צמיחה; </v>
      </c>
      <c r="M120" s="4" t="s">
        <v>29</v>
      </c>
      <c r="N120" s="5" t="n">
        <f aca="false">IF(M120="EXTREME",Rules!$B$23,IF(M120="HIGH",Rules!$B$22,Rules!$B$21))</f>
        <v>0.1</v>
      </c>
      <c r="O120" s="6" t="n">
        <v>55.2390209411082</v>
      </c>
      <c r="P120" s="4" t="s">
        <v>27</v>
      </c>
      <c r="Q120" s="4" t="s">
        <v>25</v>
      </c>
      <c r="R120" s="4" t="str">
        <f aca="false">IF(Q120="כן",P120,"לא רלוונטי (SMA200 יורד)")</f>
        <v>Q3</v>
      </c>
      <c r="S120" s="4" t="str">
        <f aca="false">IF(NOT(ISNUMBER(T120)),"n/a",IF(AND(T120&gt;Rules!$B$18,ISNUMBER(U120),U120&lt;Rules!$B$19),"יקרה",IF(T120&lt;Rules!$B$20,"זולה","הוגנת")))</f>
        <v>הוגנת</v>
      </c>
      <c r="T120" s="7" t="n">
        <f aca="false">Data!AA120</f>
        <v>1.14358200218117</v>
      </c>
      <c r="U120" s="8" t="n">
        <f aca="false">Data!AC120</f>
        <v>0.112569246512795</v>
      </c>
      <c r="V120" s="9" t="n">
        <v>0.0206</v>
      </c>
      <c r="W120" s="5" t="n">
        <v>-0.4435</v>
      </c>
    </row>
    <row r="121" customFormat="false" ht="15" hidden="false" customHeight="false" outlineLevel="0" collapsed="false">
      <c r="A121" s="2" t="str">
        <f aca="false">Data!A121</f>
        <v>XOM</v>
      </c>
      <c r="B121" s="2" t="str">
        <f aca="false">Data!B121</f>
        <v>ExxonMobil Holdings Corp.</v>
      </c>
      <c r="C121" s="2" t="str">
        <f aca="false">Data!F121</f>
        <v>STD</v>
      </c>
      <c r="D121" s="3" t="str">
        <f aca="false">IF(E121=0,"CORE",IF(E121=1,"WATCH","NON-CORE"))</f>
        <v>NON-CORE</v>
      </c>
      <c r="E121" s="4" t="n">
        <f aca="false">COUNTIF(F121:K121,"FAIL")</f>
        <v>2</v>
      </c>
      <c r="F121" s="3" t="str">
        <f aca="false">IF(C121="FIN",IF(Data!M121=Data!H121,"PASS","FAIL"),IF(AND(ISNUMBER(Data!L121),Data!L121&gt;=Rules!$B$5,IF(Data!H121&lt;5,Data!M121=Data!H121,Data!M121&gt;=Rules!$B$6)),"PASS","FAIL"))</f>
        <v>PASS</v>
      </c>
      <c r="G121" s="3" t="str">
        <f aca="false">IF(C121="FIN","n/a",IF(C121="UTIL/REIT",IF(Data!Q121=Data!H121,"PASS","FAIL"),IF(AND(ISNUMBER(Data!N121),Data!N121&gt;0,IF(Data!H121&lt;5,Data!P121=Data!H121,Data!P121&gt;=Rules!$B$7)),"PASS","FAIL")))</f>
        <v>PASS</v>
      </c>
      <c r="H121" s="3" t="str">
        <f aca="false">IF(C121="FIN",IF(AND(ISNUMBER(Data!S121),Data!S121&gt;=Rules!$B$15),"PASS","FAIL"),IF(AND(ISNUMBER(Data!R121),Data!R121&gt;=Rules!$B$8),"PASS","FAIL"))</f>
        <v>FAIL</v>
      </c>
      <c r="I121" s="3" t="str">
        <f aca="false">IF(C121="FIN","n/a",IF(C121="UTIL/REIT",IF(AND(Data!U121&lt;=Rules!$B$16,Data!V121&gt;=Rules!$B$17),"PASS","FAIL"),IF(AND(Data!U121&lt;=Rules!$B$9,Data!V121&gt;=Rules!$B$10),"PASS","FAIL")))</f>
        <v>PASS</v>
      </c>
      <c r="J121" s="3" t="str">
        <f aca="false">IF(AND(ISNUMBER(Data!J121),ISNUMBER(Data!K121)),IF(AND(Data!J121&gt;=Rules!$B$11,Data!K121&gt;=Rules!$B$12),"PASS","FAIL"),"FAIL")</f>
        <v>FAIL</v>
      </c>
      <c r="K121" s="3" t="str">
        <f aca="false">IF(AND(ISNUMBER(Data!W121),ISNUMBER(Data!X121)),IF(AND(Data!W121&lt;=Rules!$B$13,Data!X121&lt;=Rules!$B$14),"PASS","FAIL"),"FAIL")</f>
        <v>PASS</v>
      </c>
      <c r="L121" s="4" t="str">
        <f aca="false">IF(F121="FAIL","רווחיות; ","")&amp;IF(G121="FAIL","תזרים; ","")&amp;IF(H121="FAIL","תשואה על ההון; ","")&amp;IF(I121="FAIL","מאזן; ","")&amp;IF(J121="FAIL","צמיחה; ","")&amp;IF(K121="FAIL","דילול; ","")</f>
        <v>תשואה על ההון; צמיחה; </v>
      </c>
      <c r="M121" s="4" t="s">
        <v>29</v>
      </c>
      <c r="N121" s="5" t="n">
        <f aca="false">IF(M121="EXTREME",Rules!$B$23,IF(M121="HIGH",Rules!$B$22,Rules!$B$21))</f>
        <v>0.1</v>
      </c>
      <c r="O121" s="6" t="n">
        <v>32.5525518125139</v>
      </c>
      <c r="P121" s="4" t="s">
        <v>24</v>
      </c>
      <c r="Q121" s="4" t="s">
        <v>25</v>
      </c>
      <c r="R121" s="4" t="str">
        <f aca="false">IF(Q121="כן",P121,"לא רלוונטי (SMA200 יורד)")</f>
        <v>Q2</v>
      </c>
      <c r="S121" s="4" t="str">
        <f aca="false">IF(NOT(ISNUMBER(T121)),"n/a",IF(AND(T121&gt;Rules!$B$18,ISNUMBER(U121),U121&lt;Rules!$B$19),"יקרה",IF(T121&lt;Rules!$B$20,"זולה","הוגנת")))</f>
        <v>הוגנת</v>
      </c>
      <c r="T121" s="7" t="n">
        <f aca="false">Data!AA121</f>
        <v>1.96986789044315</v>
      </c>
      <c r="U121" s="8" t="n">
        <f aca="false">Data!AC121</f>
        <v>0.0425598823405831</v>
      </c>
      <c r="V121" s="9" t="n">
        <v>0.0199</v>
      </c>
      <c r="W121" s="5" t="n">
        <v>-0.2068</v>
      </c>
    </row>
    <row r="123" customFormat="false" ht="15" hidden="false" customHeight="false" outlineLevel="0" collapsed="false">
      <c r="A123" s="10" t="s">
        <v>33</v>
      </c>
    </row>
  </sheetData>
  <autoFilter ref="A1:W121"/>
  <conditionalFormatting sqref="D2:D121">
    <cfRule type="cellIs" priority="2" operator="equal" aboveAverage="0" equalAverage="0" bottom="0" percent="0" rank="0" text="" dxfId="8">
      <formula>"CORE"</formula>
    </cfRule>
    <cfRule type="cellIs" priority="3" operator="equal" aboveAverage="0" equalAverage="0" bottom="0" percent="0" rank="0" text="" dxfId="9">
      <formula>"WATCH"</formula>
    </cfRule>
    <cfRule type="cellIs" priority="4" operator="equal" aboveAverage="0" equalAverage="0" bottom="0" percent="0" rank="0" text="" dxfId="10">
      <formula>"NON-CORE"</formula>
    </cfRule>
  </conditionalFormatting>
  <conditionalFormatting sqref="F2:K121">
    <cfRule type="cellIs" priority="5" operator="equal" aboveAverage="0" equalAverage="0" bottom="0" percent="0" rank="0" text="" dxfId="11">
      <formula>"FAIL"</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6"/>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2"/>
    <col collapsed="false" customWidth="true" hidden="false" outlineLevel="0" max="2" min="2" style="0" width="12"/>
    <col collapsed="false" customWidth="true" hidden="false" outlineLevel="0" max="6" min="3" style="0" width="14"/>
  </cols>
  <sheetData>
    <row r="1" customFormat="false" ht="15" hidden="false" customHeight="false" outlineLevel="0" collapsed="false">
      <c r="A1" s="11" t="s">
        <v>34</v>
      </c>
    </row>
    <row r="2" customFormat="false" ht="15" hidden="false" customHeight="false" outlineLevel="0" collapsed="false">
      <c r="A2" s="10" t="s">
        <v>35</v>
      </c>
    </row>
    <row r="4" customFormat="false" ht="15" hidden="false" customHeight="false" outlineLevel="0" collapsed="false">
      <c r="A4" s="12" t="s">
        <v>36</v>
      </c>
      <c r="B4" s="12" t="s">
        <v>37</v>
      </c>
    </row>
    <row r="5" customFormat="false" ht="15" hidden="false" customHeight="false" outlineLevel="0" collapsed="false">
      <c r="A5" s="4" t="s">
        <v>38</v>
      </c>
      <c r="B5" s="13" t="n">
        <v>0.1</v>
      </c>
    </row>
    <row r="6" customFormat="false" ht="15" hidden="false" customHeight="false" outlineLevel="0" collapsed="false">
      <c r="A6" s="4" t="s">
        <v>39</v>
      </c>
      <c r="B6" s="14" t="n">
        <v>4</v>
      </c>
    </row>
    <row r="7" customFormat="false" ht="15" hidden="false" customHeight="false" outlineLevel="0" collapsed="false">
      <c r="A7" s="4" t="s">
        <v>40</v>
      </c>
      <c r="B7" s="14" t="n">
        <v>4</v>
      </c>
    </row>
    <row r="8" customFormat="false" ht="15" hidden="false" customHeight="false" outlineLevel="0" collapsed="false">
      <c r="A8" s="4" t="s">
        <v>41</v>
      </c>
      <c r="B8" s="13" t="n">
        <v>0.1</v>
      </c>
    </row>
    <row r="9" customFormat="false" ht="15" hidden="false" customHeight="false" outlineLevel="0" collapsed="false">
      <c r="A9" s="4" t="s">
        <v>42</v>
      </c>
      <c r="B9" s="15" t="n">
        <v>3</v>
      </c>
    </row>
    <row r="10" customFormat="false" ht="15" hidden="false" customHeight="false" outlineLevel="0" collapsed="false">
      <c r="A10" s="4" t="s">
        <v>43</v>
      </c>
      <c r="B10" s="15" t="n">
        <v>5</v>
      </c>
    </row>
    <row r="11" customFormat="false" ht="15" hidden="false" customHeight="false" outlineLevel="0" collapsed="false">
      <c r="A11" s="4" t="s">
        <v>44</v>
      </c>
      <c r="B11" s="13" t="n">
        <v>0.03</v>
      </c>
    </row>
    <row r="12" customFormat="false" ht="15" hidden="false" customHeight="false" outlineLevel="0" collapsed="false">
      <c r="A12" s="4" t="s">
        <v>45</v>
      </c>
      <c r="B12" s="13" t="n">
        <v>-0.05</v>
      </c>
    </row>
    <row r="13" customFormat="false" ht="15" hidden="false" customHeight="false" outlineLevel="0" collapsed="false">
      <c r="A13" s="4" t="s">
        <v>46</v>
      </c>
      <c r="B13" s="13" t="n">
        <v>0.05</v>
      </c>
    </row>
    <row r="14" customFormat="false" ht="15" hidden="false" customHeight="false" outlineLevel="0" collapsed="false">
      <c r="A14" s="4" t="s">
        <v>47</v>
      </c>
      <c r="B14" s="13" t="n">
        <v>0.15</v>
      </c>
    </row>
    <row r="15" customFormat="false" ht="15" hidden="false" customHeight="false" outlineLevel="0" collapsed="false">
      <c r="A15" s="4" t="s">
        <v>48</v>
      </c>
      <c r="B15" s="13" t="n">
        <v>0.1</v>
      </c>
    </row>
    <row r="16" customFormat="false" ht="15" hidden="false" customHeight="false" outlineLevel="0" collapsed="false">
      <c r="A16" s="4" t="s">
        <v>49</v>
      </c>
      <c r="B16" s="15" t="n">
        <v>6</v>
      </c>
    </row>
    <row r="17" customFormat="false" ht="15" hidden="false" customHeight="false" outlineLevel="0" collapsed="false">
      <c r="A17" s="4" t="s">
        <v>50</v>
      </c>
      <c r="B17" s="15" t="n">
        <v>2</v>
      </c>
    </row>
    <row r="18" customFormat="false" ht="15" hidden="false" customHeight="false" outlineLevel="0" collapsed="false">
      <c r="A18" s="4" t="s">
        <v>51</v>
      </c>
      <c r="B18" s="16" t="n">
        <v>1.3</v>
      </c>
    </row>
    <row r="19" customFormat="false" ht="15" hidden="false" customHeight="false" outlineLevel="0" collapsed="false">
      <c r="A19" s="4" t="s">
        <v>52</v>
      </c>
      <c r="B19" s="17" t="n">
        <v>0.02</v>
      </c>
    </row>
    <row r="20" customFormat="false" ht="15" hidden="false" customHeight="false" outlineLevel="0" collapsed="false">
      <c r="A20" s="4" t="s">
        <v>53</v>
      </c>
      <c r="B20" s="16" t="n">
        <v>0.8</v>
      </c>
    </row>
    <row r="21" customFormat="false" ht="15" hidden="false" customHeight="false" outlineLevel="0" collapsed="false">
      <c r="A21" s="4" t="s">
        <v>54</v>
      </c>
      <c r="B21" s="13" t="n">
        <v>0.1</v>
      </c>
    </row>
    <row r="22" customFormat="false" ht="15" hidden="false" customHeight="false" outlineLevel="0" collapsed="false">
      <c r="A22" s="4" t="s">
        <v>55</v>
      </c>
      <c r="B22" s="13" t="n">
        <v>0.06</v>
      </c>
    </row>
    <row r="23" customFormat="false" ht="15" hidden="false" customHeight="false" outlineLevel="0" collapsed="false">
      <c r="A23" s="4" t="s">
        <v>56</v>
      </c>
      <c r="B23" s="13" t="n">
        <v>0.03</v>
      </c>
    </row>
    <row r="25" customFormat="false" ht="48" hidden="false" customHeight="true" outlineLevel="0" collapsed="false">
      <c r="A25" s="18" t="s">
        <v>57</v>
      </c>
      <c r="B25" s="18"/>
      <c r="C25" s="18"/>
      <c r="D25" s="18"/>
      <c r="E25" s="18"/>
      <c r="F25" s="18"/>
    </row>
    <row r="26" customFormat="false" ht="48" hidden="false" customHeight="true" outlineLevel="0" collapsed="false">
      <c r="A26" s="18" t="s">
        <v>58</v>
      </c>
      <c r="B26" s="18"/>
      <c r="C26" s="18"/>
      <c r="D26" s="18"/>
      <c r="E26" s="18"/>
      <c r="F26" s="18"/>
    </row>
    <row r="27" customFormat="false" ht="48" hidden="false" customHeight="true" outlineLevel="0" collapsed="false">
      <c r="A27" s="18" t="s">
        <v>59</v>
      </c>
      <c r="B27" s="18"/>
      <c r="C27" s="18"/>
      <c r="D27" s="18"/>
      <c r="E27" s="18"/>
      <c r="F27" s="18"/>
    </row>
    <row r="28" customFormat="false" ht="48" hidden="false" customHeight="true" outlineLevel="0" collapsed="false">
      <c r="A28" s="18" t="s">
        <v>60</v>
      </c>
      <c r="B28" s="18"/>
      <c r="C28" s="18"/>
      <c r="D28" s="18"/>
      <c r="E28" s="18"/>
      <c r="F28" s="18"/>
    </row>
    <row r="29" customFormat="false" ht="48" hidden="false" customHeight="true" outlineLevel="0" collapsed="false">
      <c r="A29" s="18" t="s">
        <v>61</v>
      </c>
      <c r="B29" s="18"/>
      <c r="C29" s="18"/>
      <c r="D29" s="18"/>
      <c r="E29" s="18"/>
      <c r="F29" s="18"/>
    </row>
    <row r="30" customFormat="false" ht="48" hidden="false" customHeight="true" outlineLevel="0" collapsed="false">
      <c r="A30" s="18" t="s">
        <v>62</v>
      </c>
      <c r="B30" s="18"/>
      <c r="C30" s="18"/>
      <c r="D30" s="18"/>
      <c r="E30" s="18"/>
      <c r="F30" s="18"/>
    </row>
    <row r="31" customFormat="false" ht="48" hidden="false" customHeight="true" outlineLevel="0" collapsed="false">
      <c r="A31" s="18" t="s">
        <v>63</v>
      </c>
      <c r="B31" s="18"/>
      <c r="C31" s="18"/>
      <c r="D31" s="18"/>
      <c r="E31" s="18"/>
      <c r="F31" s="18"/>
    </row>
    <row r="32" customFormat="false" ht="48" hidden="false" customHeight="true" outlineLevel="0" collapsed="false">
      <c r="A32" s="18" t="s">
        <v>64</v>
      </c>
      <c r="B32" s="18"/>
      <c r="C32" s="18"/>
      <c r="D32" s="18"/>
      <c r="E32" s="18"/>
      <c r="F32" s="18"/>
    </row>
    <row r="33" customFormat="false" ht="48" hidden="false" customHeight="true" outlineLevel="0" collapsed="false">
      <c r="A33" s="18" t="s">
        <v>65</v>
      </c>
      <c r="B33" s="18"/>
      <c r="C33" s="18"/>
      <c r="D33" s="18"/>
      <c r="E33" s="18"/>
      <c r="F33" s="18"/>
    </row>
    <row r="34" customFormat="false" ht="48" hidden="false" customHeight="true" outlineLevel="0" collapsed="false">
      <c r="A34" s="18" t="s">
        <v>66</v>
      </c>
      <c r="B34" s="18"/>
      <c r="C34" s="18"/>
      <c r="D34" s="18"/>
      <c r="E34" s="18"/>
      <c r="F34" s="18"/>
    </row>
    <row r="35" customFormat="false" ht="48" hidden="false" customHeight="true" outlineLevel="0" collapsed="false">
      <c r="A35" s="18" t="s">
        <v>67</v>
      </c>
      <c r="B35" s="18"/>
      <c r="C35" s="18"/>
      <c r="D35" s="18"/>
      <c r="E35" s="18"/>
      <c r="F35" s="18"/>
    </row>
    <row r="36" customFormat="false" ht="48" hidden="false" customHeight="true" outlineLevel="0" collapsed="false">
      <c r="A36" s="18" t="s">
        <v>68</v>
      </c>
      <c r="B36" s="18"/>
      <c r="C36" s="18"/>
      <c r="D36" s="18"/>
      <c r="E36" s="18"/>
      <c r="F36" s="18"/>
    </row>
  </sheetData>
  <mergeCells count="12">
    <mergeCell ref="A25:F25"/>
    <mergeCell ref="A26:F26"/>
    <mergeCell ref="A27:F27"/>
    <mergeCell ref="A28:F28"/>
    <mergeCell ref="A29:F29"/>
    <mergeCell ref="A30:F30"/>
    <mergeCell ref="A31:F31"/>
    <mergeCell ref="A32:F32"/>
    <mergeCell ref="A33:F33"/>
    <mergeCell ref="A34:F34"/>
    <mergeCell ref="A35:F35"/>
    <mergeCell ref="A36:F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1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26"/>
    <col collapsed="false" customWidth="true" hidden="false" outlineLevel="0" max="3" min="3" style="0" width="13"/>
    <col collapsed="false" customWidth="true" hidden="false" outlineLevel="0" max="4" min="4" style="0" width="26"/>
    <col collapsed="false" customWidth="true" hidden="false" outlineLevel="0" max="30" min="5" style="0" width="13"/>
    <col collapsed="false" customWidth="true" hidden="false" outlineLevel="0" max="31" min="31" style="0" width="60"/>
  </cols>
  <sheetData>
    <row r="1" customFormat="false" ht="42" hidden="false" customHeight="true" outlineLevel="0" collapsed="false">
      <c r="A1" s="1" t="s">
        <v>0</v>
      </c>
      <c r="B1" s="1" t="s">
        <v>1</v>
      </c>
      <c r="C1" s="1" t="s">
        <v>69</v>
      </c>
      <c r="D1" s="1" t="s">
        <v>70</v>
      </c>
      <c r="E1" s="1" t="s">
        <v>71</v>
      </c>
      <c r="F1" s="1" t="s">
        <v>2</v>
      </c>
      <c r="G1" s="1" t="s">
        <v>72</v>
      </c>
      <c r="H1" s="1" t="s">
        <v>73</v>
      </c>
      <c r="I1" s="1" t="s">
        <v>74</v>
      </c>
      <c r="J1" s="1" t="s">
        <v>75</v>
      </c>
      <c r="K1" s="1" t="s">
        <v>76</v>
      </c>
      <c r="L1" s="1" t="s">
        <v>77</v>
      </c>
      <c r="M1" s="1" t="s">
        <v>78</v>
      </c>
      <c r="N1" s="1" t="s">
        <v>79</v>
      </c>
      <c r="O1" s="1" t="s">
        <v>80</v>
      </c>
      <c r="P1" s="1" t="s">
        <v>81</v>
      </c>
      <c r="Q1" s="1" t="s">
        <v>82</v>
      </c>
      <c r="R1" s="1" t="s">
        <v>83</v>
      </c>
      <c r="S1" s="1" t="s">
        <v>84</v>
      </c>
      <c r="T1" s="1" t="s">
        <v>85</v>
      </c>
      <c r="U1" s="1" t="s">
        <v>86</v>
      </c>
      <c r="V1" s="1" t="s">
        <v>87</v>
      </c>
      <c r="W1" s="1" t="s">
        <v>88</v>
      </c>
      <c r="X1" s="1" t="s">
        <v>89</v>
      </c>
      <c r="Y1" s="1" t="s">
        <v>90</v>
      </c>
      <c r="Z1" s="1" t="s">
        <v>91</v>
      </c>
      <c r="AA1" s="1" t="s">
        <v>92</v>
      </c>
      <c r="AB1" s="1" t="s">
        <v>93</v>
      </c>
      <c r="AC1" s="1" t="s">
        <v>94</v>
      </c>
      <c r="AD1" s="1" t="s">
        <v>95</v>
      </c>
      <c r="AE1" s="1" t="s">
        <v>96</v>
      </c>
    </row>
    <row r="2" customFormat="false" ht="15" hidden="false" customHeight="false" outlineLevel="0" collapsed="false">
      <c r="A2" s="4" t="s">
        <v>97</v>
      </c>
      <c r="B2" s="4" t="s">
        <v>98</v>
      </c>
      <c r="C2" s="4" t="s">
        <v>99</v>
      </c>
      <c r="D2" s="4" t="s">
        <v>100</v>
      </c>
      <c r="E2" s="4" t="s">
        <v>101</v>
      </c>
      <c r="F2" s="4" t="s">
        <v>102</v>
      </c>
      <c r="G2" s="4" t="s">
        <v>103</v>
      </c>
      <c r="H2" s="6" t="n">
        <v>5</v>
      </c>
      <c r="I2" s="19" t="n">
        <v>12305</v>
      </c>
      <c r="J2" s="9" t="n">
        <v>0.135755056267054</v>
      </c>
      <c r="K2" s="9" t="n">
        <v>0.108358854260494</v>
      </c>
      <c r="L2" s="9" t="n">
        <v>0.212027631044291</v>
      </c>
      <c r="M2" s="6" t="n">
        <v>4</v>
      </c>
      <c r="N2" s="19" t="n">
        <v>4646</v>
      </c>
      <c r="O2" s="9" t="n">
        <v>0.377570093457944</v>
      </c>
      <c r="P2" s="6" t="n">
        <v>5</v>
      </c>
      <c r="Q2" s="6" t="n">
        <v>5</v>
      </c>
      <c r="R2" s="9" t="n">
        <v>0.206898780594332</v>
      </c>
      <c r="S2" s="9" t="n">
        <v>0.306256860592755</v>
      </c>
      <c r="T2" s="19" t="n">
        <v>-8743</v>
      </c>
      <c r="U2" s="20" t="n">
        <v>-3.23814814814815</v>
      </c>
      <c r="V2" s="21" t="n">
        <v>999</v>
      </c>
      <c r="W2" s="9" t="n">
        <v>-0.0838235294117647</v>
      </c>
      <c r="X2" s="9" t="n">
        <v>0.129378301503454</v>
      </c>
      <c r="Y2" s="21" t="n">
        <v>37.1299547511312</v>
      </c>
      <c r="Z2" s="21" t="n">
        <v>30.0753236421494</v>
      </c>
      <c r="AA2" s="22" t="n">
        <f aca="false">IF(AND(ISNUMBER(Y2),ISNUMBER(Z2),Y2&gt;0,Z2&gt;0),Y2/Z2,"")</f>
        <v>1.23456542622521</v>
      </c>
      <c r="AB2" s="21" t="n">
        <v>30.8925101609691</v>
      </c>
      <c r="AC2" s="9" t="n">
        <v>0.0499670788533561</v>
      </c>
      <c r="AD2" s="9" t="n">
        <v>0.152434706704592</v>
      </c>
      <c r="AE2" s="4" t="s">
        <v>104</v>
      </c>
    </row>
    <row r="3" customFormat="false" ht="15" hidden="false" customHeight="false" outlineLevel="0" collapsed="false">
      <c r="A3" s="4" t="s">
        <v>105</v>
      </c>
      <c r="B3" s="4" t="s">
        <v>106</v>
      </c>
      <c r="C3" s="4" t="s">
        <v>107</v>
      </c>
      <c r="D3" s="4" t="s">
        <v>108</v>
      </c>
      <c r="E3" s="4" t="s">
        <v>101</v>
      </c>
      <c r="F3" s="4" t="s">
        <v>102</v>
      </c>
      <c r="G3" s="4" t="s">
        <v>109</v>
      </c>
      <c r="H3" s="6" t="n">
        <v>5</v>
      </c>
      <c r="I3" s="19" t="n">
        <v>23769</v>
      </c>
      <c r="J3" s="9" t="n">
        <v>0.105223399325161</v>
      </c>
      <c r="K3" s="9" t="n">
        <v>0.105277842362241</v>
      </c>
      <c r="L3" s="9" t="n">
        <v>0.366275400732046</v>
      </c>
      <c r="M3" s="6" t="n">
        <v>5</v>
      </c>
      <c r="N3" s="19" t="n">
        <v>9852</v>
      </c>
      <c r="O3" s="9" t="n">
        <v>0.414489461062729</v>
      </c>
      <c r="P3" s="6" t="n">
        <v>5</v>
      </c>
      <c r="Q3" s="6" t="n">
        <v>5</v>
      </c>
      <c r="R3" s="9" t="n">
        <v>0.589049331963001</v>
      </c>
      <c r="S3" s="9" t="n">
        <v>0.613438871203648</v>
      </c>
      <c r="T3" s="19" t="n">
        <v>53</v>
      </c>
      <c r="U3" s="20" t="n">
        <v>0.0053998981151299</v>
      </c>
      <c r="V3" s="21" t="n">
        <v>33.1026615969582</v>
      </c>
      <c r="W3" s="9" t="n">
        <v>-0.0934182590233545</v>
      </c>
      <c r="X3" s="9" t="n">
        <v>0.081703058605747</v>
      </c>
      <c r="Y3" s="21" t="n">
        <v>13.2220668523677</v>
      </c>
      <c r="Z3" s="21" t="n">
        <v>41.4734726688103</v>
      </c>
      <c r="AA3" s="22" t="n">
        <f aca="false">IF(AND(ISNUMBER(Y3),ISNUMBER(Z3),Y3&gt;0,Z3&gt;0),Y3/Z3,"")</f>
        <v>0.318807806569601</v>
      </c>
      <c r="AB3" s="21" t="n">
        <v>9.44951159894511</v>
      </c>
      <c r="AC3" s="9" t="n">
        <v>0.115951584505458</v>
      </c>
      <c r="AD3" s="9" t="n">
        <v>0.119552123985023</v>
      </c>
      <c r="AE3" s="4" t="s">
        <v>110</v>
      </c>
    </row>
    <row r="4" customFormat="false" ht="15" hidden="false" customHeight="false" outlineLevel="0" collapsed="false">
      <c r="A4" s="4" t="s">
        <v>111</v>
      </c>
      <c r="B4" s="4" t="s">
        <v>112</v>
      </c>
      <c r="C4" s="4" t="s">
        <v>113</v>
      </c>
      <c r="D4" s="4" t="s">
        <v>114</v>
      </c>
      <c r="E4" s="4" t="s">
        <v>101</v>
      </c>
      <c r="F4" s="4" t="s">
        <v>102</v>
      </c>
      <c r="G4" s="4" t="s">
        <v>115</v>
      </c>
      <c r="H4" s="6" t="n">
        <v>5</v>
      </c>
      <c r="I4" s="19" t="n">
        <v>21947.5</v>
      </c>
      <c r="J4" s="9" t="n">
        <v>0.0680856962399181</v>
      </c>
      <c r="K4" s="9" t="n">
        <v>0.0674386821588549</v>
      </c>
      <c r="L4" s="9" t="n">
        <v>0.185825264836542</v>
      </c>
      <c r="M4" s="6" t="n">
        <v>5</v>
      </c>
      <c r="N4" s="19" t="n">
        <v>5244.6</v>
      </c>
      <c r="O4" s="9" t="n">
        <v>0.23896115730721</v>
      </c>
      <c r="P4" s="6" t="n">
        <v>5</v>
      </c>
      <c r="Q4" s="6" t="n">
        <v>5</v>
      </c>
      <c r="R4" s="9" t="n">
        <v>0.45559694000198</v>
      </c>
      <c r="S4" s="9" t="n">
        <v>0.73177808727948</v>
      </c>
      <c r="T4" s="19" t="n">
        <v>1040.7</v>
      </c>
      <c r="U4" s="20" t="n">
        <v>0.161388871658086</v>
      </c>
      <c r="V4" s="21" t="n">
        <v>8.8815331010453</v>
      </c>
      <c r="W4" s="9" t="n">
        <v>-0.0391412076016358</v>
      </c>
      <c r="X4" s="9" t="n">
        <v>0.0110536507574895</v>
      </c>
      <c r="Y4" s="21" t="n">
        <v>25.1166818596171</v>
      </c>
      <c r="Z4" s="21" t="n">
        <v>26.6412121212121</v>
      </c>
      <c r="AA4" s="22" t="n">
        <f aca="false">IF(AND(ISNUMBER(Y4),ISNUMBER(Z4),Y4&gt;0,Z4&gt;0),Y4/Z4,"")</f>
        <v>0.942775491795994</v>
      </c>
      <c r="AB4" s="21" t="n">
        <v>17.2413946126171</v>
      </c>
      <c r="AC4" s="9" t="n">
        <v>0.0452093550424294</v>
      </c>
      <c r="AD4" s="9" t="n">
        <v>0.0576738288643353</v>
      </c>
      <c r="AE4" s="4" t="s">
        <v>116</v>
      </c>
    </row>
    <row r="5" customFormat="false" ht="15" hidden="false" customHeight="false" outlineLevel="0" collapsed="false">
      <c r="A5" s="4" t="s">
        <v>117</v>
      </c>
      <c r="B5" s="4" t="s">
        <v>118</v>
      </c>
      <c r="C5" s="4" t="s">
        <v>107</v>
      </c>
      <c r="D5" s="4" t="s">
        <v>119</v>
      </c>
      <c r="E5" s="4" t="s">
        <v>101</v>
      </c>
      <c r="F5" s="4" t="s">
        <v>102</v>
      </c>
      <c r="G5" s="4" t="s">
        <v>103</v>
      </c>
      <c r="H5" s="6" t="n">
        <v>5</v>
      </c>
      <c r="I5" s="19" t="n">
        <v>9005.7</v>
      </c>
      <c r="J5" s="9" t="n">
        <v>0.271465257215976</v>
      </c>
      <c r="K5" s="9" t="n">
        <v>0.285959075266668</v>
      </c>
      <c r="L5" s="9" t="n">
        <v>0.42818437211988</v>
      </c>
      <c r="M5" s="6" t="n">
        <v>5</v>
      </c>
      <c r="N5" s="19" t="n">
        <v>4252.4</v>
      </c>
      <c r="O5" s="9" t="n">
        <v>0.472189835326515</v>
      </c>
      <c r="P5" s="6" t="n">
        <v>5</v>
      </c>
      <c r="Q5" s="6" t="n">
        <v>5</v>
      </c>
      <c r="R5" s="9" t="n">
        <v>1.87177818740399</v>
      </c>
      <c r="S5" s="9" t="n">
        <v>0.283852714118265</v>
      </c>
      <c r="T5" s="19" t="n">
        <v>-10743</v>
      </c>
      <c r="U5" s="20" t="n">
        <v>-2.48548226638595</v>
      </c>
      <c r="V5" s="21" t="n">
        <v>999</v>
      </c>
      <c r="W5" s="9" t="n">
        <v>0.00779327479489833</v>
      </c>
      <c r="X5" s="9" t="n">
        <v>0.0487691128951664</v>
      </c>
      <c r="Y5" s="21" t="n">
        <v>65.6947040498442</v>
      </c>
      <c r="Z5" s="21" t="n">
        <v>46.9641577060932</v>
      </c>
      <c r="AA5" s="22" t="n">
        <f aca="false">IF(AND(ISNUMBER(Y5),ISNUMBER(Z5),Y5&gt;0,Z5&gt;0),Y5/Z5,"")</f>
        <v>1.39882640844895</v>
      </c>
      <c r="AB5" s="21" t="n">
        <v>51.7900118210077</v>
      </c>
      <c r="AC5" s="9" t="n">
        <v>0.0194148650422832</v>
      </c>
      <c r="AD5" s="9" t="n">
        <v>0.408482283997913</v>
      </c>
      <c r="AE5" s="4" t="s">
        <v>120</v>
      </c>
    </row>
    <row r="6" customFormat="false" ht="15" hidden="false" customHeight="false" outlineLevel="0" collapsed="false">
      <c r="A6" s="4" t="s">
        <v>121</v>
      </c>
      <c r="B6" s="4" t="s">
        <v>122</v>
      </c>
      <c r="C6" s="4" t="s">
        <v>113</v>
      </c>
      <c r="D6" s="4" t="s">
        <v>123</v>
      </c>
      <c r="E6" s="4" t="s">
        <v>101</v>
      </c>
      <c r="F6" s="4" t="s">
        <v>102</v>
      </c>
      <c r="G6" s="4" t="s">
        <v>103</v>
      </c>
      <c r="H6" s="6" t="n">
        <v>5</v>
      </c>
      <c r="I6" s="19" t="n">
        <v>23094.7</v>
      </c>
      <c r="J6" s="9" t="n">
        <v>0.223066058903415</v>
      </c>
      <c r="K6" s="9" t="n">
        <v>0.517122455280601</v>
      </c>
      <c r="L6" s="9" t="n">
        <v>0.254110250403772</v>
      </c>
      <c r="M6" s="6" t="n">
        <v>5</v>
      </c>
      <c r="N6" s="19" t="n">
        <v>4378.1</v>
      </c>
      <c r="O6" s="9" t="n">
        <v>0.189571633318467</v>
      </c>
      <c r="P6" s="6" t="n">
        <v>5</v>
      </c>
      <c r="Q6" s="6" t="n">
        <v>5</v>
      </c>
      <c r="R6" s="9" t="n">
        <v>0.263757303370787</v>
      </c>
      <c r="S6" s="9" t="n">
        <v>0.31609140099336</v>
      </c>
      <c r="T6" s="19" t="n">
        <v>4067.8</v>
      </c>
      <c r="U6" s="20" t="n">
        <v>0.583548516669536</v>
      </c>
      <c r="V6" s="21" t="n">
        <v>15.9559543230016</v>
      </c>
      <c r="W6" s="9" t="n">
        <v>0.0285829307568437</v>
      </c>
      <c r="X6" s="9" t="n">
        <v>0</v>
      </c>
      <c r="Y6" s="21" t="n">
        <v>40.4428571428571</v>
      </c>
      <c r="Z6" s="21" t="n">
        <v>32.8872180451128</v>
      </c>
      <c r="AA6" s="22" t="n">
        <f aca="false">IF(AND(ISNUMBER(Y6),ISNUMBER(Z6),Y6&gt;0,Z6&gt;0),Y6/Z6,"")</f>
        <v>1.22974394147234</v>
      </c>
      <c r="AB6" s="21" t="n">
        <v>24.5669769640205</v>
      </c>
      <c r="AC6" s="9" t="n">
        <v>0.0221778289872006</v>
      </c>
      <c r="AD6" s="9" t="n">
        <v>0.540573718688703</v>
      </c>
      <c r="AE6" s="4" t="s">
        <v>124</v>
      </c>
    </row>
    <row r="7" customFormat="false" ht="15" hidden="false" customHeight="false" outlineLevel="0" collapsed="false">
      <c r="A7" s="4" t="s">
        <v>125</v>
      </c>
      <c r="B7" s="4" t="s">
        <v>126</v>
      </c>
      <c r="C7" s="4" t="s">
        <v>99</v>
      </c>
      <c r="D7" s="4" t="s">
        <v>127</v>
      </c>
      <c r="E7" s="4" t="s">
        <v>101</v>
      </c>
      <c r="F7" s="4" t="s">
        <v>102</v>
      </c>
      <c r="G7" s="4" t="s">
        <v>103</v>
      </c>
      <c r="H7" s="6" t="n">
        <v>5</v>
      </c>
      <c r="I7" s="19" t="n">
        <v>5480.717</v>
      </c>
      <c r="J7" s="9" t="n">
        <v>0.248381132495841</v>
      </c>
      <c r="K7" s="9" t="n">
        <v>0.699943673469894</v>
      </c>
      <c r="L7" s="9" t="n">
        <v>0.757549422821868</v>
      </c>
      <c r="M7" s="6" t="n">
        <v>4</v>
      </c>
      <c r="N7" s="19" t="n">
        <v>3942.776</v>
      </c>
      <c r="O7" s="9" t="n">
        <v>0.719390546893773</v>
      </c>
      <c r="P7" s="6" t="n">
        <v>5</v>
      </c>
      <c r="Q7" s="6" t="n">
        <v>5</v>
      </c>
      <c r="R7" s="9" t="n">
        <v>1.02747098344901</v>
      </c>
      <c r="S7" s="9" t="n">
        <v>1.5617226261096</v>
      </c>
      <c r="T7" s="19" t="n">
        <v>1057.645</v>
      </c>
      <c r="U7" s="20" t="n">
        <v>0.242874142536439</v>
      </c>
      <c r="V7" s="21" t="n">
        <v>20.0560053329211</v>
      </c>
      <c r="W7" s="9" t="n">
        <v>-0.0796570483027937</v>
      </c>
      <c r="X7" s="9" t="n">
        <v>0.0383929693870346</v>
      </c>
      <c r="Y7" s="21" t="n">
        <v>20.7245600612089</v>
      </c>
      <c r="Z7" s="21" t="n">
        <v>68.8360433604336</v>
      </c>
      <c r="AA7" s="22" t="n">
        <f aca="false">IF(AND(ISNUMBER(Y7),ISNUMBER(Z7),Y7&gt;0,Z7&gt;0),Y7/Z7,"")</f>
        <v>0.301071343579303</v>
      </c>
      <c r="AB7" s="21" t="n">
        <v>16.4778733681613</v>
      </c>
      <c r="AC7" s="9" t="n">
        <v>0.0494447472817397</v>
      </c>
      <c r="AD7" s="9" t="n">
        <v>0.482080552051857</v>
      </c>
      <c r="AE7" s="4" t="s">
        <v>128</v>
      </c>
    </row>
    <row r="8" customFormat="false" ht="15" hidden="false" customHeight="false" outlineLevel="0" collapsed="false">
      <c r="A8" s="4" t="s">
        <v>129</v>
      </c>
      <c r="B8" s="4" t="s">
        <v>130</v>
      </c>
      <c r="C8" s="4"/>
      <c r="D8" s="4"/>
      <c r="E8" s="4" t="s">
        <v>131</v>
      </c>
      <c r="F8" s="4" t="s">
        <v>102</v>
      </c>
      <c r="G8" s="4" t="s">
        <v>103</v>
      </c>
      <c r="H8" s="6" t="n">
        <v>5</v>
      </c>
      <c r="I8" s="19" t="n">
        <v>32667.3</v>
      </c>
      <c r="J8" s="9" t="n">
        <v>0.15551134263329</v>
      </c>
      <c r="K8" s="9" t="n">
        <v>0.155836803725025</v>
      </c>
      <c r="L8" s="9" t="n">
        <v>0.34595451720834</v>
      </c>
      <c r="M8" s="6" t="n">
        <v>5</v>
      </c>
      <c r="N8" s="19" t="n">
        <v>11084.9</v>
      </c>
      <c r="O8" s="9" t="n">
        <v>0.339327094678777</v>
      </c>
      <c r="P8" s="6" t="n">
        <v>5</v>
      </c>
      <c r="Q8" s="6" t="n">
        <v>5</v>
      </c>
      <c r="R8" s="9" t="n">
        <v>0.835871063176422</v>
      </c>
      <c r="S8" s="9" t="n">
        <v>0.489970528548557</v>
      </c>
      <c r="T8" s="19" t="n">
        <v>-8931</v>
      </c>
      <c r="U8" s="20" t="n">
        <v>-0.718388030888031</v>
      </c>
      <c r="V8" s="21" t="n">
        <v>999</v>
      </c>
      <c r="W8" s="9" t="n">
        <v>-0.0228643216080402</v>
      </c>
      <c r="X8" s="9" t="n">
        <v>0</v>
      </c>
      <c r="Y8" s="21" t="n">
        <v>55.4281560232221</v>
      </c>
      <c r="Z8" s="21" t="n">
        <v>36.0879038189533</v>
      </c>
      <c r="AA8" s="22" t="n">
        <f aca="false">IF(AND(ISNUMBER(Y8),ISNUMBER(Z8),Y8&gt;0,Z8&gt;0),Y8/Z8,"")</f>
        <v>1.53592063150288</v>
      </c>
      <c r="AB8" s="21" t="n">
        <v>42.3106243356876</v>
      </c>
      <c r="AC8" s="9" t="n">
        <v>0.0169879464000469</v>
      </c>
      <c r="AD8" s="9" t="n">
        <v>0.348524150725649</v>
      </c>
      <c r="AE8" s="4" t="s">
        <v>132</v>
      </c>
    </row>
    <row r="9" customFormat="false" ht="15" hidden="false" customHeight="false" outlineLevel="0" collapsed="false">
      <c r="A9" s="4" t="s">
        <v>133</v>
      </c>
      <c r="B9" s="4" t="s">
        <v>134</v>
      </c>
      <c r="C9" s="4" t="s">
        <v>135</v>
      </c>
      <c r="D9" s="4" t="s">
        <v>136</v>
      </c>
      <c r="E9" s="4" t="s">
        <v>101</v>
      </c>
      <c r="F9" s="4" t="s">
        <v>137</v>
      </c>
      <c r="G9" s="4" t="s">
        <v>103</v>
      </c>
      <c r="H9" s="6" t="n">
        <v>5</v>
      </c>
      <c r="I9" s="19" t="n">
        <v>80464</v>
      </c>
      <c r="J9" s="9" t="n">
        <v>0.130951197475995</v>
      </c>
      <c r="K9" s="9" t="n">
        <v>0.0844058705408284</v>
      </c>
      <c r="L9" s="9" t="n">
        <v>0.171443129846888</v>
      </c>
      <c r="M9" s="6" t="n">
        <v>5</v>
      </c>
      <c r="N9" s="19" t="n">
        <v>16003</v>
      </c>
      <c r="O9" s="9" t="n">
        <v>0.19888397295685</v>
      </c>
      <c r="P9" s="6" t="n">
        <v>5</v>
      </c>
      <c r="Q9" s="6" t="n">
        <v>5</v>
      </c>
      <c r="R9" s="9" t="n">
        <v>0.255229630670508</v>
      </c>
      <c r="S9" s="9" t="n">
        <v>0.323624305431081</v>
      </c>
      <c r="T9" s="19" t="n">
        <v>9225</v>
      </c>
      <c r="U9" s="20" t="n">
        <v>0.592409452864115</v>
      </c>
      <c r="V9" s="21" t="n">
        <v>1.67537041535098</v>
      </c>
      <c r="W9" s="9" t="n">
        <v>-0.074468085106383</v>
      </c>
      <c r="X9" s="9" t="n">
        <v>0.00684778285941539</v>
      </c>
      <c r="Y9" s="21" t="n">
        <v>18.8920557913887</v>
      </c>
      <c r="Z9" s="21" t="n">
        <v>16.6821015138023</v>
      </c>
      <c r="AA9" s="22" t="n">
        <f aca="false">IF(AND(ISNUMBER(Y9),ISNUMBER(Z9),Y9&gt;0,Z9&gt;0),Y9/Z9,"")</f>
        <v>1.13247457316801</v>
      </c>
      <c r="AB9" s="21" t="n">
        <v>8.99267816291862</v>
      </c>
      <c r="AC9" s="9" t="n">
        <v>0.0721818155353144</v>
      </c>
      <c r="AD9" s="9" t="n">
        <v>-0.0123270519984092</v>
      </c>
      <c r="AE9" s="4" t="s">
        <v>138</v>
      </c>
    </row>
    <row r="10" customFormat="false" ht="15" hidden="false" customHeight="false" outlineLevel="0" collapsed="false">
      <c r="A10" s="4" t="s">
        <v>139</v>
      </c>
      <c r="B10" s="4" t="s">
        <v>140</v>
      </c>
      <c r="C10" s="4" t="s">
        <v>135</v>
      </c>
      <c r="D10" s="4" t="s">
        <v>141</v>
      </c>
      <c r="E10" s="4" t="s">
        <v>101</v>
      </c>
      <c r="F10" s="4" t="s">
        <v>137</v>
      </c>
      <c r="G10" s="4" t="s">
        <v>103</v>
      </c>
      <c r="H10" s="6" t="n">
        <v>5</v>
      </c>
      <c r="I10" s="19" t="n">
        <v>191567</v>
      </c>
      <c r="J10" s="9" t="n">
        <v>0.185243503552473</v>
      </c>
      <c r="K10" s="9" t="n">
        <v>-0.0045054408264652</v>
      </c>
      <c r="L10" s="9" t="n">
        <v>0.196771886598423</v>
      </c>
      <c r="M10" s="6" t="n">
        <v>5</v>
      </c>
      <c r="N10" s="19" t="n">
        <v>12613</v>
      </c>
      <c r="O10" s="9" t="n">
        <v>0.0658411939425893</v>
      </c>
      <c r="P10" s="6" t="n">
        <v>2</v>
      </c>
      <c r="Q10" s="6" t="n">
        <v>2</v>
      </c>
      <c r="R10" s="9" t="n">
        <v>0.00961858337172574</v>
      </c>
      <c r="S10" s="9" t="n">
        <v>0.100609082485004</v>
      </c>
      <c r="T10" s="19" t="n">
        <v>-597828</v>
      </c>
      <c r="U10" s="20" t="n">
        <v>-14.9423379739559</v>
      </c>
      <c r="V10" s="21" t="n">
        <v>0.480374665477252</v>
      </c>
      <c r="W10" s="9" t="n">
        <v>-0.0759840832568105</v>
      </c>
      <c r="X10" s="9" t="n">
        <v>0.0208856431431301</v>
      </c>
      <c r="Y10" s="21" t="n">
        <v>12.3299319727891</v>
      </c>
      <c r="Z10" s="21" t="n">
        <v>12.3583333333333</v>
      </c>
      <c r="AA10" s="22" t="n">
        <f aca="false">IF(AND(ISNUMBER(Y10),ISNUMBER(Z10),Y10&gt;0,Z10&gt;0),Y10/Z10,"")</f>
        <v>0.99770184540438</v>
      </c>
      <c r="AB10" s="21" t="n">
        <v>23.5502557831586</v>
      </c>
      <c r="AC10" s="9" t="n">
        <v>0.245523781026578</v>
      </c>
      <c r="AD10" s="9" t="n">
        <v>-0.35575279810197</v>
      </c>
      <c r="AE10" s="4" t="s">
        <v>142</v>
      </c>
    </row>
    <row r="11" customFormat="false" ht="15" hidden="false" customHeight="false" outlineLevel="0" collapsed="false">
      <c r="A11" s="4" t="s">
        <v>143</v>
      </c>
      <c r="B11" s="4" t="s">
        <v>144</v>
      </c>
      <c r="C11" s="4" t="s">
        <v>99</v>
      </c>
      <c r="D11" s="4" t="s">
        <v>100</v>
      </c>
      <c r="E11" s="4" t="s">
        <v>101</v>
      </c>
      <c r="F11" s="4" t="s">
        <v>102</v>
      </c>
      <c r="G11" s="4" t="s">
        <v>103</v>
      </c>
      <c r="H11" s="6" t="n">
        <v>5</v>
      </c>
      <c r="I11" s="19" t="n">
        <v>26917</v>
      </c>
      <c r="J11" s="9" t="n">
        <v>0.163486987818722</v>
      </c>
      <c r="K11" s="9" t="n">
        <v>0.133872530435149</v>
      </c>
      <c r="L11" s="9" t="n">
        <v>0.344837834825575</v>
      </c>
      <c r="M11" s="6" t="n">
        <v>5</v>
      </c>
      <c r="N11" s="19" t="n">
        <v>9087</v>
      </c>
      <c r="O11" s="9" t="n">
        <v>0.337593342497307</v>
      </c>
      <c r="P11" s="6" t="n">
        <v>5</v>
      </c>
      <c r="Q11" s="6" t="n">
        <v>5</v>
      </c>
      <c r="R11" s="9" t="n">
        <v>0.712294833463559</v>
      </c>
      <c r="S11" s="9"/>
      <c r="T11" s="19" t="n">
        <v>1508</v>
      </c>
      <c r="U11" s="20" t="n">
        <v>0.16361071932299</v>
      </c>
      <c r="V11" s="21" t="n">
        <v>5.74025974025974</v>
      </c>
      <c r="W11" s="9" t="n">
        <v>-0.18508439029262</v>
      </c>
      <c r="X11" s="9" t="n">
        <v>0.0229223167514953</v>
      </c>
      <c r="Y11" s="21" t="n">
        <v>17.4782666254799</v>
      </c>
      <c r="Z11" s="21" t="n">
        <v>29.8917165248167</v>
      </c>
      <c r="AA11" s="22" t="n">
        <f aca="false">IF(AND(ISNUMBER(Y11),ISNUMBER(Z11),Y11&gt;0,Z11&gt;0),Y11/Z11,"")</f>
        <v>0.584719402479583</v>
      </c>
      <c r="AB11" s="21" t="n">
        <v>11.6667036563456</v>
      </c>
      <c r="AC11" s="9" t="n">
        <v>0.077952919978104</v>
      </c>
      <c r="AD11" s="9" t="n">
        <v>0.0867615774789168</v>
      </c>
      <c r="AE11" s="4" t="s">
        <v>145</v>
      </c>
    </row>
    <row r="12" customFormat="false" ht="15" hidden="false" customHeight="false" outlineLevel="0" collapsed="false">
      <c r="A12" s="4" t="s">
        <v>146</v>
      </c>
      <c r="B12" s="4" t="s">
        <v>147</v>
      </c>
      <c r="C12" s="4" t="s">
        <v>148</v>
      </c>
      <c r="D12" s="4" t="s">
        <v>149</v>
      </c>
      <c r="E12" s="4" t="s">
        <v>101</v>
      </c>
      <c r="F12" s="4" t="s">
        <v>102</v>
      </c>
      <c r="G12" s="4" t="s">
        <v>103</v>
      </c>
      <c r="H12" s="6" t="n">
        <v>5</v>
      </c>
      <c r="I12" s="19" t="n">
        <v>20074</v>
      </c>
      <c r="J12" s="9" t="n">
        <v>0.165418900196064</v>
      </c>
      <c r="K12" s="9" t="n">
        <v>0.198662447005434</v>
      </c>
      <c r="L12" s="9" t="n">
        <v>0.197818073129421</v>
      </c>
      <c r="M12" s="6" t="n">
        <v>5</v>
      </c>
      <c r="N12" s="19" t="n">
        <v>3658</v>
      </c>
      <c r="O12" s="9" t="n">
        <v>0.182225764670718</v>
      </c>
      <c r="P12" s="6" t="n">
        <v>5</v>
      </c>
      <c r="Q12" s="6" t="n">
        <v>5</v>
      </c>
      <c r="R12" s="9" t="n">
        <v>0.105708177418964</v>
      </c>
      <c r="S12" s="9" t="n">
        <v>0.117930696305982</v>
      </c>
      <c r="T12" s="19" t="n">
        <v>10373</v>
      </c>
      <c r="U12" s="20" t="n">
        <v>2.03312426499412</v>
      </c>
      <c r="V12" s="21" t="n">
        <v>11.378223495702</v>
      </c>
      <c r="W12" s="9" t="n">
        <v>0.0380634854483573</v>
      </c>
      <c r="X12" s="9" t="n">
        <v>0.0148948889110292</v>
      </c>
      <c r="Y12" s="21" t="n">
        <v>17.3407258064516</v>
      </c>
      <c r="Z12" s="21" t="n">
        <v>61.3429602888087</v>
      </c>
      <c r="AA12" s="22" t="n">
        <f aca="false">IF(AND(ISNUMBER(Y12),ISNUMBER(Z12),Y12&gt;0,Z12&gt;0),Y12/Z12,"")</f>
        <v>0.282684854542555</v>
      </c>
      <c r="AB12" s="21" t="n">
        <v>13.0976931566431</v>
      </c>
      <c r="AC12" s="9" t="n">
        <v>0.0567107040225825</v>
      </c>
      <c r="AD12" s="9" t="n">
        <v>0.0565877878848262</v>
      </c>
      <c r="AE12" s="4" t="s">
        <v>150</v>
      </c>
    </row>
    <row r="13" customFormat="false" ht="15" hidden="false" customHeight="false" outlineLevel="0" collapsed="false">
      <c r="A13" s="4" t="s">
        <v>151</v>
      </c>
      <c r="B13" s="4" t="s">
        <v>152</v>
      </c>
      <c r="C13" s="4" t="s">
        <v>113</v>
      </c>
      <c r="D13" s="4" t="s">
        <v>153</v>
      </c>
      <c r="E13" s="4" t="s">
        <v>101</v>
      </c>
      <c r="F13" s="4" t="s">
        <v>102</v>
      </c>
      <c r="G13" s="4" t="s">
        <v>103</v>
      </c>
      <c r="H13" s="6" t="n">
        <v>5</v>
      </c>
      <c r="I13" s="19" t="n">
        <v>67589</v>
      </c>
      <c r="J13" s="9" t="n">
        <v>0.0438323160905727</v>
      </c>
      <c r="K13" s="9" t="n">
        <v>0.0428952768905553</v>
      </c>
      <c r="L13" s="9" t="n">
        <v>0.16585539067008</v>
      </c>
      <c r="M13" s="6" t="n">
        <v>5</v>
      </c>
      <c r="N13" s="19" t="n">
        <v>7453</v>
      </c>
      <c r="O13" s="9" t="n">
        <v>0.110269422539171</v>
      </c>
      <c r="P13" s="6" t="n">
        <v>5</v>
      </c>
      <c r="Q13" s="6" t="n">
        <v>5</v>
      </c>
      <c r="R13" s="9" t="n">
        <v>0.161994219653179</v>
      </c>
      <c r="S13" s="9" t="n">
        <v>0.416221033868093</v>
      </c>
      <c r="T13" s="19" t="n">
        <v>33350</v>
      </c>
      <c r="U13" s="20" t="n">
        <v>2.24503534163581</v>
      </c>
      <c r="V13" s="21" t="n">
        <v>10.8834951456311</v>
      </c>
      <c r="W13" s="9" t="n">
        <v>-0.115761689291101</v>
      </c>
      <c r="X13" s="9" t="n">
        <v>0.00358046427673142</v>
      </c>
      <c r="Y13" s="21" t="n">
        <v>33.2296486718081</v>
      </c>
      <c r="Z13" s="21" t="n">
        <v>17.3294216261526</v>
      </c>
      <c r="AA13" s="22" t="n">
        <f aca="false">IF(AND(ISNUMBER(Y13),ISNUMBER(Z13),Y13&gt;0,Z13&gt;0),Y13/Z13,"")</f>
        <v>1.9175278545742</v>
      </c>
      <c r="AB13" s="21" t="n">
        <v>22.9877626134927</v>
      </c>
      <c r="AC13" s="9" t="n">
        <v>0.0248727845152785</v>
      </c>
      <c r="AD13" s="9" t="n">
        <v>0.177631285297903</v>
      </c>
      <c r="AE13" s="4" t="s">
        <v>154</v>
      </c>
    </row>
    <row r="14" customFormat="false" ht="15" hidden="false" customHeight="false" outlineLevel="0" collapsed="false">
      <c r="A14" s="4" t="s">
        <v>155</v>
      </c>
      <c r="B14" s="4" t="s">
        <v>156</v>
      </c>
      <c r="C14" s="4" t="s">
        <v>135</v>
      </c>
      <c r="D14" s="4" t="s">
        <v>157</v>
      </c>
      <c r="E14" s="4" t="s">
        <v>101</v>
      </c>
      <c r="F14" s="4" t="s">
        <v>137</v>
      </c>
      <c r="G14" s="4" t="s">
        <v>103</v>
      </c>
      <c r="H14" s="6" t="n">
        <v>5</v>
      </c>
      <c r="I14" s="19" t="n">
        <v>59783</v>
      </c>
      <c r="J14" s="9" t="n">
        <v>0.116316317902459</v>
      </c>
      <c r="K14" s="9" t="n">
        <v>0.0647016918967052</v>
      </c>
      <c r="L14" s="9" t="n">
        <v>0.218189117307596</v>
      </c>
      <c r="M14" s="6" t="n">
        <v>5</v>
      </c>
      <c r="N14" s="19" t="n">
        <v>14537</v>
      </c>
      <c r="O14" s="9" t="n">
        <v>0.243162772025492</v>
      </c>
      <c r="P14" s="6" t="n">
        <v>5</v>
      </c>
      <c r="Q14" s="6" t="n">
        <v>5</v>
      </c>
      <c r="R14" s="9" t="n">
        <v>0.18789562934194</v>
      </c>
      <c r="S14" s="9" t="n">
        <v>0.129232003409419</v>
      </c>
      <c r="T14" s="19" t="n">
        <v>-24936</v>
      </c>
      <c r="U14" s="20" t="n">
        <v>-1.7673825217946</v>
      </c>
      <c r="V14" s="21" t="n">
        <v>17.0732984293194</v>
      </c>
      <c r="W14" s="9" t="n">
        <v>-0.0638141133859235</v>
      </c>
      <c r="X14" s="9" t="n">
        <v>0</v>
      </c>
      <c r="Y14" s="21" t="n">
        <v>12.1742796907941</v>
      </c>
      <c r="Z14" s="21" t="n">
        <v>12.0444638186574</v>
      </c>
      <c r="AA14" s="22" t="n">
        <f aca="false">IF(AND(ISNUMBER(Y14),ISNUMBER(Z14),Y14&gt;0,Z14&gt;0),Y14/Z14,"")</f>
        <v>1.01077805322771</v>
      </c>
      <c r="AB14" s="21" t="n">
        <v>12.2249187105242</v>
      </c>
      <c r="AC14" s="9" t="n">
        <v>0.120272023492971</v>
      </c>
      <c r="AD14" s="9" t="n">
        <v>-0.0132003771473496</v>
      </c>
      <c r="AE14" s="4" t="s">
        <v>158</v>
      </c>
    </row>
    <row r="15" customFormat="false" ht="15" hidden="false" customHeight="false" outlineLevel="0" collapsed="false">
      <c r="A15" s="4" t="s">
        <v>159</v>
      </c>
      <c r="B15" s="4" t="s">
        <v>160</v>
      </c>
      <c r="C15" s="4" t="s">
        <v>135</v>
      </c>
      <c r="D15" s="4" t="s">
        <v>161</v>
      </c>
      <c r="E15" s="4" t="s">
        <v>101</v>
      </c>
      <c r="F15" s="4" t="s">
        <v>102</v>
      </c>
      <c r="G15" s="4" t="s">
        <v>103</v>
      </c>
      <c r="H15" s="6" t="n">
        <v>5</v>
      </c>
      <c r="I15" s="19" t="n">
        <v>6520.6</v>
      </c>
      <c r="J15" s="9" t="n">
        <v>0.0911352454850196</v>
      </c>
      <c r="K15" s="9" t="n">
        <v>0.0637020603252803</v>
      </c>
      <c r="L15" s="9" t="n">
        <v>0.648636628531117</v>
      </c>
      <c r="M15" s="6" t="n">
        <v>5</v>
      </c>
      <c r="N15" s="19" t="n">
        <v>4193.6</v>
      </c>
      <c r="O15" s="9" t="n">
        <v>0.643131000214704</v>
      </c>
      <c r="P15" s="6" t="n">
        <v>5</v>
      </c>
      <c r="Q15" s="6" t="n">
        <v>5</v>
      </c>
      <c r="R15" s="9" t="n">
        <v>0.121024064965265</v>
      </c>
      <c r="S15" s="9" t="n">
        <v>0.140781531735368</v>
      </c>
      <c r="T15" s="19" t="n">
        <v>-1119.6</v>
      </c>
      <c r="U15" s="20" t="n">
        <v>-0.193829853536927</v>
      </c>
      <c r="V15" s="21" t="n">
        <v>32.6098689282961</v>
      </c>
      <c r="W15" s="9" t="n">
        <v>0.00292888543659053</v>
      </c>
      <c r="X15" s="9" t="n">
        <v>0.0145385393982149</v>
      </c>
      <c r="Y15" s="21" t="n">
        <v>23.3957805907173</v>
      </c>
      <c r="Z15" s="21" t="n">
        <v>23.9659442724458</v>
      </c>
      <c r="AA15" s="22" t="n">
        <f aca="false">IF(AND(ISNUMBER(Y15),ISNUMBER(Z15),Y15&gt;0,Z15&gt;0),Y15/Z15,"")</f>
        <v>0.976209421366967</v>
      </c>
      <c r="AB15" s="21" t="n">
        <v>18.3311301754671</v>
      </c>
      <c r="AC15" s="9" t="n">
        <v>0.0420593651067612</v>
      </c>
      <c r="AD15" s="9" t="n">
        <v>0.0811674631168911</v>
      </c>
      <c r="AE15" s="4" t="s">
        <v>162</v>
      </c>
    </row>
    <row r="16" customFormat="false" ht="15" hidden="false" customHeight="false" outlineLevel="0" collapsed="false">
      <c r="A16" s="4" t="s">
        <v>163</v>
      </c>
      <c r="B16" s="4" t="s">
        <v>164</v>
      </c>
      <c r="C16" s="4"/>
      <c r="D16" s="4"/>
      <c r="E16" s="4" t="s">
        <v>101</v>
      </c>
      <c r="F16" s="4" t="s">
        <v>102</v>
      </c>
      <c r="G16" s="4" t="s">
        <v>165</v>
      </c>
      <c r="H16" s="6" t="n">
        <v>5</v>
      </c>
      <c r="I16" s="19" t="n">
        <v>41525</v>
      </c>
      <c r="J16" s="9" t="n">
        <v>0.0982000611383049</v>
      </c>
      <c r="K16" s="9" t="n">
        <v>0.0957910014513788</v>
      </c>
      <c r="L16" s="9" t="n">
        <v>0.214738109572547</v>
      </c>
      <c r="M16" s="6" t="n">
        <v>5</v>
      </c>
      <c r="N16" s="19" t="n">
        <v>14402</v>
      </c>
      <c r="O16" s="9" t="n">
        <v>0.346827212522577</v>
      </c>
      <c r="P16" s="6" t="n">
        <v>5</v>
      </c>
      <c r="Q16" s="6" t="n">
        <v>5</v>
      </c>
      <c r="R16" s="9" t="n">
        <v>0.105529788923344</v>
      </c>
      <c r="S16" s="9" t="n">
        <v>0.126086368401474</v>
      </c>
      <c r="T16" s="19" t="n">
        <v>7611</v>
      </c>
      <c r="U16" s="20" t="n">
        <v>0.578739259371911</v>
      </c>
      <c r="V16" s="21" t="n">
        <v>27.5216049382716</v>
      </c>
      <c r="W16" s="9" t="n">
        <v>-0.041123370110331</v>
      </c>
      <c r="X16" s="9" t="n">
        <v>0.0845033112582782</v>
      </c>
      <c r="Y16" s="21" t="n">
        <v>21.7039545454546</v>
      </c>
      <c r="Z16" s="21" t="n">
        <v>66.1388235294118</v>
      </c>
      <c r="AA16" s="22" t="n">
        <f aca="false">IF(AND(ISNUMBER(Y16),ISNUMBER(Z16),Y16&gt;0,Z16&gt;0),Y16/Z16,"")</f>
        <v>0.328157553873072</v>
      </c>
      <c r="AB16" s="21" t="n">
        <v>13.6556287051947</v>
      </c>
      <c r="AC16" s="9" t="n">
        <v>0.0775018063446858</v>
      </c>
      <c r="AD16" s="9" t="n">
        <v>0.114687636002408</v>
      </c>
      <c r="AE16" s="4" t="s">
        <v>166</v>
      </c>
    </row>
    <row r="17" customFormat="false" ht="15" hidden="false" customHeight="false" outlineLevel="0" collapsed="false">
      <c r="A17" s="4" t="s">
        <v>167</v>
      </c>
      <c r="B17" s="4" t="s">
        <v>168</v>
      </c>
      <c r="C17" s="4" t="s">
        <v>107</v>
      </c>
      <c r="D17" s="4" t="s">
        <v>169</v>
      </c>
      <c r="E17" s="4" t="s">
        <v>101</v>
      </c>
      <c r="F17" s="4" t="s">
        <v>102</v>
      </c>
      <c r="G17" s="4" t="s">
        <v>170</v>
      </c>
      <c r="H17" s="6" t="n">
        <v>5</v>
      </c>
      <c r="I17" s="19" t="n">
        <v>63325</v>
      </c>
      <c r="J17" s="9" t="n">
        <v>0.035710853001804</v>
      </c>
      <c r="K17" s="9" t="n">
        <v>0.117749849966463</v>
      </c>
      <c r="L17" s="9" t="n">
        <v>0.242684563758389</v>
      </c>
      <c r="M17" s="6" t="n">
        <v>5</v>
      </c>
      <c r="N17" s="19" t="n">
        <v>12767</v>
      </c>
      <c r="O17" s="9" t="n">
        <v>0.201610738255034</v>
      </c>
      <c r="P17" s="6" t="n">
        <v>5</v>
      </c>
      <c r="Q17" s="6" t="n">
        <v>5</v>
      </c>
      <c r="R17" s="9" t="n">
        <v>0.189995618153365</v>
      </c>
      <c r="S17" s="9" t="n">
        <v>0.263836134035995</v>
      </c>
      <c r="T17" s="19" t="n">
        <v>13615</v>
      </c>
      <c r="U17" s="20" t="n">
        <v>0.680103901293771</v>
      </c>
      <c r="V17" s="21" t="n">
        <v>10.4544217687075</v>
      </c>
      <c r="W17" s="9" t="n">
        <v>-0.0287454323995128</v>
      </c>
      <c r="X17" s="9" t="n">
        <v>0.0604816423213581</v>
      </c>
      <c r="Y17" s="21" t="n">
        <v>34.0252976190476</v>
      </c>
      <c r="Z17" s="21" t="n">
        <v>18.7764705882353</v>
      </c>
      <c r="AA17" s="22" t="n">
        <f aca="false">IF(AND(ISNUMBER(Y17),ISNUMBER(Z17),Y17&gt;0,Z17&gt;0),Y17/Z17,"")</f>
        <v>1.81212424662848</v>
      </c>
      <c r="AB17" s="21" t="n">
        <v>23.6341588243878</v>
      </c>
      <c r="AC17" s="9" t="n">
        <v>0.0301705807523817</v>
      </c>
      <c r="AD17" s="9" t="n">
        <v>0.151812873399132</v>
      </c>
      <c r="AE17" s="4" t="s">
        <v>171</v>
      </c>
    </row>
    <row r="18" customFormat="false" ht="15" hidden="false" customHeight="false" outlineLevel="0" collapsed="false">
      <c r="A18" s="4" t="s">
        <v>172</v>
      </c>
      <c r="B18" s="4" t="s">
        <v>173</v>
      </c>
      <c r="C18" s="4" t="s">
        <v>113</v>
      </c>
      <c r="D18" s="4" t="s">
        <v>174</v>
      </c>
      <c r="E18" s="4" t="s">
        <v>101</v>
      </c>
      <c r="F18" s="4" t="s">
        <v>102</v>
      </c>
      <c r="G18" s="4" t="s">
        <v>103</v>
      </c>
      <c r="H18" s="6" t="n">
        <v>5</v>
      </c>
      <c r="I18" s="19" t="n">
        <v>27448</v>
      </c>
      <c r="J18" s="9" t="n">
        <v>0.0976997924793441</v>
      </c>
      <c r="K18" s="9" t="n">
        <v>0.103304124125734</v>
      </c>
      <c r="L18" s="9" t="n">
        <v>0.190505683474206</v>
      </c>
      <c r="M18" s="6" t="n">
        <v>5</v>
      </c>
      <c r="N18" s="19" t="n">
        <v>3553</v>
      </c>
      <c r="O18" s="9" t="n">
        <v>0.129444768289129</v>
      </c>
      <c r="P18" s="6" t="n">
        <v>5</v>
      </c>
      <c r="Q18" s="6" t="n">
        <v>5</v>
      </c>
      <c r="R18" s="9" t="n">
        <v>0.138458521870287</v>
      </c>
      <c r="S18" s="9" t="n">
        <v>0.210026195490267</v>
      </c>
      <c r="T18" s="19" t="n">
        <v>10366</v>
      </c>
      <c r="U18" s="20" t="n">
        <v>1.67139632376653</v>
      </c>
      <c r="V18" s="21" t="n">
        <v>19.8068181818182</v>
      </c>
      <c r="W18" s="9" t="n">
        <v>-0.0281936127744511</v>
      </c>
      <c r="X18" s="9" t="n">
        <v>0.0018216263480035</v>
      </c>
      <c r="Y18" s="21" t="n">
        <v>43.2748478701826</v>
      </c>
      <c r="Z18" s="21" t="n">
        <v>30.3632030505243</v>
      </c>
      <c r="AA18" s="22" t="n">
        <f aca="false">IF(AND(ISNUMBER(Y18),ISNUMBER(Z18),Y18&gt;0,Z18&gt;0),Y18/Z18,"")</f>
        <v>1.42523987993537</v>
      </c>
      <c r="AB18" s="21" t="n">
        <v>28.8875216044603</v>
      </c>
      <c r="AC18" s="9" t="n">
        <v>0.0271843232980871</v>
      </c>
      <c r="AD18" s="9" t="n">
        <v>0.201013677499272</v>
      </c>
      <c r="AE18" s="4" t="s">
        <v>175</v>
      </c>
    </row>
    <row r="19" customFormat="false" ht="15" hidden="false" customHeight="false" outlineLevel="0" collapsed="false">
      <c r="A19" s="4" t="s">
        <v>176</v>
      </c>
      <c r="B19" s="4" t="s">
        <v>177</v>
      </c>
      <c r="C19" s="4" t="s">
        <v>113</v>
      </c>
      <c r="D19" s="4" t="s">
        <v>174</v>
      </c>
      <c r="E19" s="4" t="s">
        <v>101</v>
      </c>
      <c r="F19" s="4" t="s">
        <v>102</v>
      </c>
      <c r="G19" s="4" t="s">
        <v>103</v>
      </c>
      <c r="H19" s="6" t="n">
        <v>5</v>
      </c>
      <c r="I19" s="19" t="n">
        <v>45855</v>
      </c>
      <c r="J19" s="9" t="n">
        <v>0.163154355970344</v>
      </c>
      <c r="K19" s="9" t="n">
        <v>0.184822489793809</v>
      </c>
      <c r="L19" s="9" t="n">
        <v>0.191255043070549</v>
      </c>
      <c r="M19" s="6" t="n">
        <v>4</v>
      </c>
      <c r="N19" s="19" t="n">
        <v>7264</v>
      </c>
      <c r="O19" s="9" t="n">
        <v>0.158412386871661</v>
      </c>
      <c r="P19" s="6" t="n">
        <v>5</v>
      </c>
      <c r="Q19" s="6" t="n">
        <v>5</v>
      </c>
      <c r="R19" s="9" t="n">
        <v>0.256603703703704</v>
      </c>
      <c r="S19" s="9" t="n">
        <v>0.460577838924754</v>
      </c>
      <c r="T19" s="19" t="n">
        <v>8102</v>
      </c>
      <c r="U19" s="20" t="n">
        <v>0.67164055375943</v>
      </c>
      <c r="V19" s="21" t="n">
        <v>10.4033214709371</v>
      </c>
      <c r="W19" s="9" t="n">
        <v>-0.0264598540145985</v>
      </c>
      <c r="X19" s="9" t="n">
        <v>0</v>
      </c>
      <c r="Y19" s="21" t="n">
        <v>35.9600938967136</v>
      </c>
      <c r="Z19" s="21" t="n">
        <v>32.6815064602</v>
      </c>
      <c r="AA19" s="22" t="n">
        <f aca="false">IF(AND(ISNUMBER(Y19),ISNUMBER(Z19),Y19&gt;0,Z19&gt;0),Y19/Z19,"")</f>
        <v>1.10031934851309</v>
      </c>
      <c r="AB19" s="21" t="n">
        <v>26.2802302515974</v>
      </c>
      <c r="AC19" s="9" t="n">
        <v>0.0263018999760594</v>
      </c>
      <c r="AD19" s="9" t="n">
        <v>0.0972243918002398</v>
      </c>
      <c r="AE19" s="4" t="s">
        <v>178</v>
      </c>
    </row>
    <row r="20" customFormat="false" ht="15" hidden="false" customHeight="false" outlineLevel="0" collapsed="false">
      <c r="A20" s="4" t="s">
        <v>179</v>
      </c>
      <c r="B20" s="4" t="s">
        <v>180</v>
      </c>
      <c r="C20" s="4" t="s">
        <v>107</v>
      </c>
      <c r="D20" s="4" t="s">
        <v>119</v>
      </c>
      <c r="E20" s="4" t="s">
        <v>101</v>
      </c>
      <c r="F20" s="4" t="s">
        <v>102</v>
      </c>
      <c r="G20" s="4" t="s">
        <v>103</v>
      </c>
      <c r="H20" s="6" t="n">
        <v>5</v>
      </c>
      <c r="I20" s="19" t="n">
        <v>402836</v>
      </c>
      <c r="J20" s="9" t="n">
        <v>0.12511745609216</v>
      </c>
      <c r="K20" s="9" t="n">
        <v>0.150900810815444</v>
      </c>
      <c r="L20" s="9" t="n">
        <v>0.320639168296776</v>
      </c>
      <c r="M20" s="6" t="n">
        <v>5</v>
      </c>
      <c r="N20" s="19" t="n">
        <v>73266</v>
      </c>
      <c r="O20" s="9" t="n">
        <v>0.181875502685957</v>
      </c>
      <c r="P20" s="6" t="n">
        <v>5</v>
      </c>
      <c r="Q20" s="6" t="n">
        <v>5</v>
      </c>
      <c r="R20" s="9" t="n">
        <v>0.293461417893493</v>
      </c>
      <c r="S20" s="9" t="n">
        <v>0.318278689511517</v>
      </c>
      <c r="T20" s="19" t="n">
        <v>-67552</v>
      </c>
      <c r="U20" s="20" t="n">
        <v>-0.373839223455711</v>
      </c>
      <c r="V20" s="21" t="n">
        <v>175.495923913044</v>
      </c>
      <c r="W20" s="9" t="n">
        <v>-0.07059806976214</v>
      </c>
      <c r="X20" s="9" t="n">
        <v>0.061943321848097</v>
      </c>
      <c r="Y20" s="21" t="n">
        <v>17.5429493545184</v>
      </c>
      <c r="Z20" s="21" t="n">
        <v>24.1318493150685</v>
      </c>
      <c r="AA20" s="22" t="n">
        <f aca="false">IF(AND(ISNUMBER(Y20),ISNUMBER(Z20),Y20&gt;0,Z20&gt;0),Y20/Z20,"")</f>
        <v>0.726962493652077</v>
      </c>
      <c r="AB20" s="21" t="n">
        <v>13.2579552133489</v>
      </c>
      <c r="AC20" s="9" t="n">
        <v>0.0124799639279306</v>
      </c>
      <c r="AD20" s="9" t="n">
        <v>0.237050273309734</v>
      </c>
      <c r="AE20" s="4" t="s">
        <v>181</v>
      </c>
    </row>
    <row r="21" customFormat="false" ht="15" hidden="false" customHeight="false" outlineLevel="0" collapsed="false">
      <c r="A21" s="4" t="s">
        <v>182</v>
      </c>
      <c r="B21" s="4" t="s">
        <v>183</v>
      </c>
      <c r="C21" s="4" t="s">
        <v>135</v>
      </c>
      <c r="D21" s="4" t="s">
        <v>161</v>
      </c>
      <c r="E21" s="4" t="s">
        <v>101</v>
      </c>
      <c r="F21" s="4" t="s">
        <v>137</v>
      </c>
      <c r="G21" s="4" t="s">
        <v>103</v>
      </c>
      <c r="H21" s="6" t="n">
        <v>5</v>
      </c>
      <c r="I21" s="19" t="n">
        <v>125097</v>
      </c>
      <c r="J21" s="9" t="n">
        <v>0.221069008036851</v>
      </c>
      <c r="K21" s="9" t="n">
        <v>-0.0138427944155833</v>
      </c>
      <c r="L21" s="9" t="n">
        <v>0.174680447972373</v>
      </c>
      <c r="M21" s="6" t="n">
        <v>5</v>
      </c>
      <c r="N21" s="19" t="n">
        <v>-47218</v>
      </c>
      <c r="O21" s="9" t="n">
        <v>-0.377451097947992</v>
      </c>
      <c r="P21" s="6" t="n">
        <v>2</v>
      </c>
      <c r="Q21" s="6" t="n">
        <v>2</v>
      </c>
      <c r="R21" s="9" t="n">
        <v>108.843514662671</v>
      </c>
      <c r="S21" s="9" t="n">
        <v>0.137438786288129</v>
      </c>
      <c r="T21" s="19" t="n">
        <v>-14993</v>
      </c>
      <c r="U21" s="20" t="n">
        <v>-0.62382458184239</v>
      </c>
      <c r="V21" s="21" t="n">
        <v>0.327057203580088</v>
      </c>
      <c r="W21" s="9" t="n">
        <v>-0.113096900307177</v>
      </c>
      <c r="X21" s="9" t="n">
        <v>0.0275386300231021</v>
      </c>
      <c r="Y21" s="21" t="n">
        <v>16.7972566704247</v>
      </c>
      <c r="Z21" s="21" t="n">
        <v>13.8918000970403</v>
      </c>
      <c r="AA21" s="22" t="n">
        <f aca="false">IF(AND(ISNUMBER(Y21),ISNUMBER(Z21),Y21&gt;0,Z21&gt;0),Y21/Z21,"")</f>
        <v>1.20914903418481</v>
      </c>
      <c r="AB21" s="21" t="n">
        <v>10.3508640616412</v>
      </c>
      <c r="AC21" s="9" t="n">
        <v>-0.15741984933249</v>
      </c>
      <c r="AD21" s="9" t="n">
        <v>-0.433686174744398</v>
      </c>
      <c r="AE21" s="4" t="s">
        <v>184</v>
      </c>
    </row>
    <row r="22" customFormat="false" ht="15" hidden="false" customHeight="false" outlineLevel="0" collapsed="false">
      <c r="A22" s="4" t="s">
        <v>185</v>
      </c>
      <c r="B22" s="4" t="s">
        <v>186</v>
      </c>
      <c r="C22" s="4" t="s">
        <v>107</v>
      </c>
      <c r="D22" s="4" t="s">
        <v>108</v>
      </c>
      <c r="E22" s="4" t="s">
        <v>101</v>
      </c>
      <c r="F22" s="4" t="s">
        <v>102</v>
      </c>
      <c r="G22" s="4" t="s">
        <v>187</v>
      </c>
      <c r="H22" s="6" t="n">
        <v>5</v>
      </c>
      <c r="I22" s="19" t="n">
        <v>21448</v>
      </c>
      <c r="J22" s="9" t="n">
        <v>0.142869985405584</v>
      </c>
      <c r="K22" s="9" t="n">
        <v>0.138972970102491</v>
      </c>
      <c r="L22" s="9" t="n">
        <v>0.287998881014547</v>
      </c>
      <c r="M22" s="6" t="n">
        <v>5</v>
      </c>
      <c r="N22" s="19" t="n">
        <v>8617</v>
      </c>
      <c r="O22" s="9" t="n">
        <v>0.401762402088773</v>
      </c>
      <c r="P22" s="6" t="n">
        <v>5</v>
      </c>
      <c r="Q22" s="6" t="n">
        <v>5</v>
      </c>
      <c r="R22" s="9" t="n">
        <v>0.24142037302726</v>
      </c>
      <c r="S22" s="9" t="n">
        <v>0.24041701769166</v>
      </c>
      <c r="T22" s="19" t="n">
        <v>1221</v>
      </c>
      <c r="U22" s="20" t="n">
        <v>0.171512852928782</v>
      </c>
      <c r="V22" s="21" t="n">
        <v>24.12890625</v>
      </c>
      <c r="W22" s="9" t="n">
        <v>-0.0212014134275619</v>
      </c>
      <c r="X22" s="9" t="n">
        <v>0.0958597538232003</v>
      </c>
      <c r="Y22" s="21" t="n">
        <v>18.5111917725348</v>
      </c>
      <c r="Z22" s="21" t="n">
        <v>60.3419811320755</v>
      </c>
      <c r="AA22" s="22" t="n">
        <f aca="false">IF(AND(ISNUMBER(Y22),ISNUMBER(Z22),Y22&gt;0,Z22&gt;0),Y22/Z22,"")</f>
        <v>0.306771362577868</v>
      </c>
      <c r="AB22" s="21" t="n">
        <v>12.0823201976503</v>
      </c>
      <c r="AC22" s="9" t="n">
        <v>0.102951523979349</v>
      </c>
      <c r="AD22" s="9" t="n">
        <v>0.0917539672230512</v>
      </c>
      <c r="AE22" s="4" t="s">
        <v>188</v>
      </c>
    </row>
    <row r="23" customFormat="false" ht="15" hidden="false" customHeight="false" outlineLevel="0" collapsed="false">
      <c r="A23" s="4" t="s">
        <v>189</v>
      </c>
      <c r="B23" s="4" t="s">
        <v>190</v>
      </c>
      <c r="C23" s="4" t="s">
        <v>148</v>
      </c>
      <c r="D23" s="4" t="s">
        <v>149</v>
      </c>
      <c r="E23" s="4" t="s">
        <v>101</v>
      </c>
      <c r="F23" s="4" t="s">
        <v>102</v>
      </c>
      <c r="G23" s="4" t="s">
        <v>103</v>
      </c>
      <c r="H23" s="6" t="n">
        <v>5</v>
      </c>
      <c r="I23" s="19" t="n">
        <v>10064.7</v>
      </c>
      <c r="J23" s="9" t="n">
        <v>0.173867167930689</v>
      </c>
      <c r="K23" s="9" t="n">
        <v>0.205050226889046</v>
      </c>
      <c r="L23" s="9" t="n">
        <v>0.292656512364999</v>
      </c>
      <c r="M23" s="6" t="n">
        <v>5</v>
      </c>
      <c r="N23" s="19" t="n">
        <v>2490.7</v>
      </c>
      <c r="O23" s="9" t="n">
        <v>0.247468876369887</v>
      </c>
      <c r="P23" s="6" t="n">
        <v>5</v>
      </c>
      <c r="Q23" s="6" t="n">
        <v>5</v>
      </c>
      <c r="R23" s="9" t="n">
        <v>0.189034980827972</v>
      </c>
      <c r="S23" s="9" t="n">
        <v>0.15918224025594</v>
      </c>
      <c r="T23" s="19" t="n">
        <v>-5632.1</v>
      </c>
      <c r="U23" s="20" t="n">
        <v>-1.41208474363796</v>
      </c>
      <c r="V23" s="21" t="n">
        <v>999</v>
      </c>
      <c r="W23" s="9" t="n">
        <v>0.00193370165745854</v>
      </c>
      <c r="X23" s="9" t="n">
        <v>0.0783133128657585</v>
      </c>
      <c r="Y23" s="21" t="n">
        <v>47.7542372881356</v>
      </c>
      <c r="Z23" s="21" t="n">
        <v>71.3306451612903</v>
      </c>
      <c r="AA23" s="22" t="n">
        <f aca="false">IF(AND(ISNUMBER(Y23),ISNUMBER(Z23),Y23&gt;0,Z23&gt;0),Y23/Z23,"")</f>
        <v>0.669477153615468</v>
      </c>
      <c r="AB23" s="21" t="n">
        <v>32.2961354820937</v>
      </c>
      <c r="AC23" s="9" t="n">
        <v>0.0215841338692911</v>
      </c>
      <c r="AD23" s="9" t="n">
        <v>0.168471501982175</v>
      </c>
      <c r="AE23" s="4" t="s">
        <v>191</v>
      </c>
    </row>
    <row r="24" customFormat="false" ht="15" hidden="false" customHeight="false" outlineLevel="0" collapsed="false">
      <c r="A24" s="4" t="s">
        <v>192</v>
      </c>
      <c r="B24" s="4" t="s">
        <v>193</v>
      </c>
      <c r="C24" s="4" t="s">
        <v>148</v>
      </c>
      <c r="D24" s="4" t="s">
        <v>194</v>
      </c>
      <c r="E24" s="4" t="s">
        <v>101</v>
      </c>
      <c r="F24" s="4" t="s">
        <v>102</v>
      </c>
      <c r="G24" s="4" t="s">
        <v>195</v>
      </c>
      <c r="H24" s="6" t="n">
        <v>5</v>
      </c>
      <c r="I24" s="19" t="n">
        <v>94193</v>
      </c>
      <c r="J24" s="9" t="n">
        <v>0.0559928495417881</v>
      </c>
      <c r="K24" s="9" t="n">
        <v>0.0604811925107802</v>
      </c>
      <c r="L24" s="9" t="n">
        <v>0.271739938211969</v>
      </c>
      <c r="M24" s="6" t="n">
        <v>5</v>
      </c>
      <c r="N24" s="19" t="n">
        <v>19698</v>
      </c>
      <c r="O24" s="9" t="n">
        <v>0.209123820241419</v>
      </c>
      <c r="P24" s="6" t="n">
        <v>5</v>
      </c>
      <c r="Q24" s="6" t="n">
        <v>5</v>
      </c>
      <c r="R24" s="9" t="n">
        <v>0.184876251428571</v>
      </c>
      <c r="S24" s="9" t="n">
        <v>0.328705974688512</v>
      </c>
      <c r="T24" s="19" t="n">
        <v>27831</v>
      </c>
      <c r="U24" s="20" t="n">
        <v>0.677895506028498</v>
      </c>
      <c r="V24" s="21" t="n">
        <v>26.3604531410917</v>
      </c>
      <c r="W24" s="9" t="n">
        <v>-0.0880288299110327</v>
      </c>
      <c r="X24" s="9" t="n">
        <v>0.0143747412228085</v>
      </c>
      <c r="Y24" s="21" t="n">
        <v>28.7606936416185</v>
      </c>
      <c r="Z24" s="21" t="n">
        <v>21.6317780580076</v>
      </c>
      <c r="AA24" s="22" t="n">
        <f aca="false">IF(AND(ISNUMBER(Y24),ISNUMBER(Z24),Y24&gt;0,Z24&gt;0),Y24/Z24,"")</f>
        <v>1.32955754097024</v>
      </c>
      <c r="AB24" s="21" t="n">
        <v>18.8010600254061</v>
      </c>
      <c r="AC24" s="9" t="n">
        <v>0.0308925266697662</v>
      </c>
      <c r="AD24" s="9" t="n">
        <v>0.0757210729141231</v>
      </c>
      <c r="AE24" s="4" t="s">
        <v>196</v>
      </c>
    </row>
    <row r="25" customFormat="false" ht="15" hidden="false" customHeight="false" outlineLevel="0" collapsed="false">
      <c r="A25" s="4" t="s">
        <v>197</v>
      </c>
      <c r="B25" s="4" t="s">
        <v>198</v>
      </c>
      <c r="C25" s="4" t="s">
        <v>135</v>
      </c>
      <c r="D25" s="4" t="s">
        <v>141</v>
      </c>
      <c r="E25" s="4" t="s">
        <v>101</v>
      </c>
      <c r="F25" s="4" t="s">
        <v>137</v>
      </c>
      <c r="G25" s="4" t="s">
        <v>103</v>
      </c>
      <c r="H25" s="6" t="n">
        <v>5</v>
      </c>
      <c r="I25" s="19" t="n">
        <v>279745</v>
      </c>
      <c r="J25" s="9" t="n">
        <v>0.220616990396251</v>
      </c>
      <c r="K25" s="9" t="n">
        <v>0.0330737216061214</v>
      </c>
      <c r="L25" s="9" t="n">
        <v>0.259504191317092</v>
      </c>
      <c r="M25" s="6" t="n">
        <v>5</v>
      </c>
      <c r="N25" s="19" t="n">
        <v>-147782</v>
      </c>
      <c r="O25" s="9" t="n">
        <v>-0.52827396378845</v>
      </c>
      <c r="P25" s="6" t="n">
        <v>3</v>
      </c>
      <c r="Q25" s="6" t="n">
        <v>3</v>
      </c>
      <c r="R25" s="9" t="n">
        <v>0.0788284278878607</v>
      </c>
      <c r="S25" s="9" t="n">
        <v>0.157400714053162</v>
      </c>
      <c r="T25" s="19" t="n">
        <v>-537369</v>
      </c>
      <c r="U25" s="20" t="n">
        <v>-6.60028741279355</v>
      </c>
      <c r="V25" s="21" t="n">
        <v>0.741537110053321</v>
      </c>
      <c r="W25" s="9" t="n">
        <v>-0.0593602693602694</v>
      </c>
      <c r="X25" s="9" t="n">
        <v>0</v>
      </c>
      <c r="Y25" s="21" t="n">
        <v>14.0925848345203</v>
      </c>
      <c r="Z25" s="21" t="n">
        <v>11.0826446280992</v>
      </c>
      <c r="AA25" s="22" t="n">
        <f aca="false">IF(AND(ISNUMBER(Y25),ISNUMBER(Z25),Y25&gt;0,Z25&gt;0),Y25/Z25,"")</f>
        <v>1.27159042876731</v>
      </c>
      <c r="AB25" s="21" t="n">
        <v>15.2158740799831</v>
      </c>
      <c r="AC25" s="9" t="n">
        <v>-0.181823410759035</v>
      </c>
      <c r="AD25" s="9" t="n">
        <v>-0.255509501388765</v>
      </c>
      <c r="AE25" s="4" t="s">
        <v>199</v>
      </c>
    </row>
    <row r="26" customFormat="false" ht="15" hidden="false" customHeight="false" outlineLevel="0" collapsed="false">
      <c r="A26" s="4" t="s">
        <v>200</v>
      </c>
      <c r="B26" s="4" t="s">
        <v>201</v>
      </c>
      <c r="C26" s="4" t="s">
        <v>107</v>
      </c>
      <c r="D26" s="4" t="s">
        <v>202</v>
      </c>
      <c r="E26" s="4" t="s">
        <v>101</v>
      </c>
      <c r="F26" s="4" t="s">
        <v>102</v>
      </c>
      <c r="G26" s="4" t="s">
        <v>115</v>
      </c>
      <c r="H26" s="6" t="n">
        <v>5</v>
      </c>
      <c r="I26" s="19" t="n">
        <v>13579.476</v>
      </c>
      <c r="J26" s="9" t="n">
        <v>0.0896464900241905</v>
      </c>
      <c r="K26" s="9" t="n">
        <v>0.117085803891064</v>
      </c>
      <c r="L26" s="9" t="n">
        <v>0.416862918716451</v>
      </c>
      <c r="M26" s="6" t="n">
        <v>5</v>
      </c>
      <c r="N26" s="19" t="n">
        <v>3767.134</v>
      </c>
      <c r="O26" s="9" t="n">
        <v>0.277413797115588</v>
      </c>
      <c r="P26" s="6" t="n">
        <v>5</v>
      </c>
      <c r="Q26" s="6" t="n">
        <v>5</v>
      </c>
      <c r="R26" s="9" t="n">
        <v>0.588490938101426</v>
      </c>
      <c r="S26" s="9" t="n">
        <v>0.760772903798848</v>
      </c>
      <c r="T26" s="19" t="n">
        <v>1249.305</v>
      </c>
      <c r="U26" s="20" t="n">
        <v>0.206334423275051</v>
      </c>
      <c r="V26" s="21" t="n">
        <v>19.9014906482914</v>
      </c>
      <c r="W26" s="9" t="n">
        <v>-0.0589845616286947</v>
      </c>
      <c r="X26" s="9" t="n">
        <v>0.0228411611758804</v>
      </c>
      <c r="Y26" s="21" t="n">
        <v>50.0244299674267</v>
      </c>
      <c r="Z26" s="21" t="n">
        <v>29.3383557156895</v>
      </c>
      <c r="AA26" s="22" t="n">
        <f aca="false">IF(AND(ISNUMBER(Y26),ISNUMBER(Z26),Y26&gt;0,Z26&gt;0),Y26/Z26,"")</f>
        <v>1.70508635358439</v>
      </c>
      <c r="AB26" s="21" t="n">
        <v>40.9604357102299</v>
      </c>
      <c r="AC26" s="9" t="n">
        <v>0.0154705439764102</v>
      </c>
      <c r="AD26" s="9" t="n">
        <v>0.33821262668751</v>
      </c>
      <c r="AE26" s="4" t="s">
        <v>203</v>
      </c>
    </row>
    <row r="27" customFormat="false" ht="15" hidden="false" customHeight="false" outlineLevel="0" collapsed="false">
      <c r="A27" s="4" t="s">
        <v>204</v>
      </c>
      <c r="B27" s="4" t="s">
        <v>205</v>
      </c>
      <c r="C27" s="4" t="s">
        <v>206</v>
      </c>
      <c r="D27" s="4" t="s">
        <v>207</v>
      </c>
      <c r="E27" s="4" t="s">
        <v>101</v>
      </c>
      <c r="F27" s="4" t="s">
        <v>102</v>
      </c>
      <c r="G27" s="4" t="s">
        <v>103</v>
      </c>
      <c r="H27" s="6" t="n">
        <v>5</v>
      </c>
      <c r="I27" s="19" t="n">
        <v>47941</v>
      </c>
      <c r="J27" s="9" t="n">
        <v>0.0368901411418778</v>
      </c>
      <c r="K27" s="9" t="n">
        <v>0.0186991351649986</v>
      </c>
      <c r="L27" s="9" t="n">
        <v>0.287061179366304</v>
      </c>
      <c r="M27" s="6" t="n">
        <v>5</v>
      </c>
      <c r="N27" s="19" t="n">
        <v>5296</v>
      </c>
      <c r="O27" s="9" t="n">
        <v>0.110469118291233</v>
      </c>
      <c r="P27" s="6" t="n">
        <v>5</v>
      </c>
      <c r="Q27" s="6" t="n">
        <v>5</v>
      </c>
      <c r="R27" s="9" t="n">
        <v>0.160787671739356</v>
      </c>
      <c r="S27" s="9" t="n">
        <v>0.382407002188184</v>
      </c>
      <c r="T27" s="19" t="n">
        <v>33342</v>
      </c>
      <c r="U27" s="20" t="n">
        <v>1.78280397818415</v>
      </c>
      <c r="V27" s="21" t="n">
        <v>8.32043530834341</v>
      </c>
      <c r="W27" s="9" t="n">
        <v>-0.00850574712643681</v>
      </c>
      <c r="X27" s="9" t="n">
        <v>0.00581965332387727</v>
      </c>
      <c r="Y27" s="21" t="n">
        <v>26.963963963964</v>
      </c>
      <c r="Z27" s="21" t="n">
        <v>25.2064777327935</v>
      </c>
      <c r="AA27" s="22" t="n">
        <f aca="false">IF(AND(ISNUMBER(Y27),ISNUMBER(Z27),Y27&gt;0,Z27&gt;0),Y27/Z27,"")</f>
        <v>1.06972359445858</v>
      </c>
      <c r="AB27" s="21" t="n">
        <v>21.0257611206697</v>
      </c>
      <c r="AC27" s="9" t="n">
        <v>0.0370076175457814</v>
      </c>
      <c r="AD27" s="9" t="n">
        <v>0.0388063055630881</v>
      </c>
      <c r="AE27" s="4"/>
    </row>
    <row r="28" customFormat="false" ht="15" hidden="false" customHeight="false" outlineLevel="0" collapsed="false">
      <c r="A28" s="4" t="s">
        <v>208</v>
      </c>
      <c r="B28" s="4" t="s">
        <v>209</v>
      </c>
      <c r="C28" s="4" t="s">
        <v>148</v>
      </c>
      <c r="D28" s="4" t="s">
        <v>194</v>
      </c>
      <c r="E28" s="4" t="s">
        <v>101</v>
      </c>
      <c r="F28" s="4" t="s">
        <v>102</v>
      </c>
      <c r="G28" s="4" t="s">
        <v>103</v>
      </c>
      <c r="H28" s="6" t="n">
        <v>5</v>
      </c>
      <c r="I28" s="19" t="n">
        <v>65179</v>
      </c>
      <c r="J28" s="9" t="n">
        <v>0.316873748806204</v>
      </c>
      <c r="K28" s="9" t="n">
        <v>0.4470394955931</v>
      </c>
      <c r="L28" s="9" t="n">
        <v>0.455606867242517</v>
      </c>
      <c r="M28" s="6" t="n">
        <v>5</v>
      </c>
      <c r="N28" s="19" t="n">
        <v>8972</v>
      </c>
      <c r="O28" s="9" t="n">
        <v>0.137651697632673</v>
      </c>
      <c r="P28" s="6" t="n">
        <v>4</v>
      </c>
      <c r="Q28" s="6" t="n">
        <v>5</v>
      </c>
      <c r="R28" s="9" t="n">
        <v>0.379793427230047</v>
      </c>
      <c r="S28" s="9" t="n">
        <v>0.77784058790277</v>
      </c>
      <c r="T28" s="19" t="n">
        <v>35235</v>
      </c>
      <c r="U28" s="20" t="n">
        <v>1.11175969456978</v>
      </c>
      <c r="V28" s="21" t="n">
        <v>37.339368791651</v>
      </c>
      <c r="W28" s="9" t="n">
        <v>-0.0549157950792585</v>
      </c>
      <c r="X28" s="9" t="n">
        <v>0.00960432040994799</v>
      </c>
      <c r="Y28" s="21" t="n">
        <v>39.2810304449649</v>
      </c>
      <c r="Z28" s="21" t="n">
        <v>55.6834094368341</v>
      </c>
      <c r="AA28" s="22" t="n">
        <f aca="false">IF(AND(ISNUMBER(Y28),ISNUMBER(Z28),Y28&gt;0,Z28&gt;0),Y28/Z28,"")</f>
        <v>0.705435080973702</v>
      </c>
      <c r="AB28" s="21" t="n">
        <v>26.6371125928304</v>
      </c>
      <c r="AC28" s="9" t="n">
        <v>0.0181074106896123</v>
      </c>
      <c r="AD28" s="9" t="n">
        <v>0.360940046594762</v>
      </c>
      <c r="AE28" s="4" t="s">
        <v>210</v>
      </c>
    </row>
    <row r="29" customFormat="false" ht="15" hidden="false" customHeight="false" outlineLevel="0" collapsed="false">
      <c r="A29" s="4" t="s">
        <v>211</v>
      </c>
      <c r="B29" s="4" t="s">
        <v>212</v>
      </c>
      <c r="C29" s="4" t="s">
        <v>113</v>
      </c>
      <c r="D29" s="4" t="s">
        <v>213</v>
      </c>
      <c r="E29" s="4" t="s">
        <v>101</v>
      </c>
      <c r="F29" s="4" t="s">
        <v>102</v>
      </c>
      <c r="G29" s="4" t="s">
        <v>103</v>
      </c>
      <c r="H29" s="6" t="n">
        <v>5</v>
      </c>
      <c r="I29" s="19" t="n">
        <v>75057</v>
      </c>
      <c r="J29" s="9" t="n">
        <v>0.0438806665218099</v>
      </c>
      <c r="K29" s="9" t="n">
        <v>0.0565009923567417</v>
      </c>
      <c r="L29" s="9" t="n">
        <v>0.103001718693793</v>
      </c>
      <c r="M29" s="6" t="n">
        <v>5</v>
      </c>
      <c r="N29" s="19" t="n">
        <v>6908</v>
      </c>
      <c r="O29" s="9" t="n">
        <v>0.0920367187604088</v>
      </c>
      <c r="P29" s="6" t="n">
        <v>5</v>
      </c>
      <c r="Q29" s="6" t="n">
        <v>5</v>
      </c>
      <c r="R29" s="9" t="n">
        <v>0.251337037037037</v>
      </c>
      <c r="S29" s="9" t="n">
        <v>0.746466299657789</v>
      </c>
      <c r="T29" s="19" t="n">
        <v>17579</v>
      </c>
      <c r="U29" s="20" t="n">
        <v>2.0143233642718</v>
      </c>
      <c r="V29" s="21" t="n">
        <v>6.91502683363149</v>
      </c>
      <c r="W29" s="9" t="n">
        <v>-0.123582766439909</v>
      </c>
      <c r="X29" s="9" t="n">
        <v>0.00405025513942737</v>
      </c>
      <c r="Y29" s="21" t="n">
        <v>18.5596220183486</v>
      </c>
      <c r="Z29" s="21" t="n">
        <v>21.7034390352836</v>
      </c>
      <c r="AA29" s="22" t="n">
        <f aca="false">IF(AND(ISNUMBER(Y29),ISNUMBER(Z29),Y29&gt;0,Z29&gt;0),Y29/Z29,"")</f>
        <v>0.855146596268728</v>
      </c>
      <c r="AB29" s="21" t="n">
        <v>13.0090758716849</v>
      </c>
      <c r="AC29" s="9" t="n">
        <v>0.0748152446532716</v>
      </c>
      <c r="AD29" s="9" t="n">
        <v>0.0785994545079074</v>
      </c>
      <c r="AE29" s="4" t="s">
        <v>214</v>
      </c>
    </row>
    <row r="30" customFormat="false" ht="15" hidden="false" customHeight="false" outlineLevel="0" collapsed="false">
      <c r="A30" s="4" t="s">
        <v>215</v>
      </c>
      <c r="B30" s="4" t="s">
        <v>216</v>
      </c>
      <c r="C30" s="4" t="s">
        <v>107</v>
      </c>
      <c r="D30" s="4" t="s">
        <v>202</v>
      </c>
      <c r="E30" s="4" t="s">
        <v>101</v>
      </c>
      <c r="F30" s="4" t="s">
        <v>102</v>
      </c>
      <c r="G30" s="4" t="s">
        <v>217</v>
      </c>
      <c r="H30" s="6" t="n">
        <v>5</v>
      </c>
      <c r="I30" s="19" t="n">
        <v>23232.69</v>
      </c>
      <c r="J30" s="9" t="n">
        <v>0.100596340335486</v>
      </c>
      <c r="K30" s="9" t="n">
        <v>0.26020858240997</v>
      </c>
      <c r="L30" s="9" t="n">
        <v>0.35294212594409</v>
      </c>
      <c r="M30" s="6" t="n">
        <v>5</v>
      </c>
      <c r="N30" s="19" t="n">
        <v>4891.252</v>
      </c>
      <c r="O30" s="9" t="n">
        <v>0.210533175452348</v>
      </c>
      <c r="P30" s="6" t="n">
        <v>5</v>
      </c>
      <c r="Q30" s="6" t="n">
        <v>5</v>
      </c>
      <c r="R30" s="9" t="n">
        <v>0.588182400122034</v>
      </c>
      <c r="S30" s="9" t="n">
        <v>0.582586963705407</v>
      </c>
      <c r="T30" s="19" t="n">
        <v>-1457.606</v>
      </c>
      <c r="U30" s="20" t="n">
        <v>-0.167463809193146</v>
      </c>
      <c r="V30" s="21" t="n">
        <v>999</v>
      </c>
      <c r="W30" s="9" t="n">
        <v>-0.0715859063268401</v>
      </c>
      <c r="X30" s="9" t="n">
        <v>0.0166309196223081</v>
      </c>
      <c r="Y30" s="21" t="n">
        <v>53.4645941278066</v>
      </c>
      <c r="Z30" s="21" t="n">
        <v>23.3429256594724</v>
      </c>
      <c r="AA30" s="22" t="n">
        <f aca="false">IF(AND(ISNUMBER(Y30),ISNUMBER(Z30),Y30&gt;0,Z30&gt;0),Y30/Z30,"")</f>
        <v>2.29039816635457</v>
      </c>
      <c r="AB30" s="21" t="n">
        <v>44.3093494191066</v>
      </c>
      <c r="AC30" s="9" t="n">
        <v>0.0126347657467161</v>
      </c>
      <c r="AD30" s="9" t="n">
        <v>0.50410787282919</v>
      </c>
      <c r="AE30" s="4" t="s">
        <v>218</v>
      </c>
    </row>
    <row r="31" customFormat="false" ht="15" hidden="false" customHeight="false" outlineLevel="0" collapsed="false">
      <c r="A31" s="4" t="s">
        <v>219</v>
      </c>
      <c r="B31" s="4" t="s">
        <v>220</v>
      </c>
      <c r="C31" s="4" t="s">
        <v>135</v>
      </c>
      <c r="D31" s="4" t="s">
        <v>136</v>
      </c>
      <c r="E31" s="4" t="s">
        <v>101</v>
      </c>
      <c r="F31" s="4" t="s">
        <v>102</v>
      </c>
      <c r="G31" s="4" t="s">
        <v>103</v>
      </c>
      <c r="H31" s="6" t="n">
        <v>5</v>
      </c>
      <c r="I31" s="19" t="n">
        <v>32791</v>
      </c>
      <c r="J31" s="9" t="n">
        <v>0.138219849522251</v>
      </c>
      <c r="K31" s="9" t="n">
        <v>0.164163737707246</v>
      </c>
      <c r="L31" s="9" t="n">
        <v>0.576286176084901</v>
      </c>
      <c r="M31" s="6" t="n">
        <v>5</v>
      </c>
      <c r="N31" s="19" t="n">
        <v>16433</v>
      </c>
      <c r="O31" s="9" t="n">
        <v>0.501143606477387</v>
      </c>
      <c r="P31" s="6" t="n">
        <v>5</v>
      </c>
      <c r="Q31" s="6" t="n">
        <v>5</v>
      </c>
      <c r="R31" s="9" t="n">
        <v>0.941988263503281</v>
      </c>
      <c r="S31" s="9" t="n">
        <v>1.93235218177124</v>
      </c>
      <c r="T31" s="19" t="n">
        <v>8102</v>
      </c>
      <c r="U31" s="20" t="n">
        <v>0.394373052959502</v>
      </c>
      <c r="V31" s="21" t="n">
        <v>26.1731301939058</v>
      </c>
      <c r="W31" s="9" t="n">
        <v>-0.0751802265705458</v>
      </c>
      <c r="X31" s="9" t="n">
        <v>0.0182062151200024</v>
      </c>
      <c r="Y31" s="21" t="n">
        <v>33.0172981878089</v>
      </c>
      <c r="Z31" s="21" t="n">
        <v>35.9620573355818</v>
      </c>
      <c r="AA31" s="22" t="n">
        <f aca="false">IF(AND(ISNUMBER(Y31),ISNUMBER(Z31),Y31&gt;0,Z31&gt;0),Y31/Z31,"")</f>
        <v>0.918114830853704</v>
      </c>
      <c r="AB31" s="21" t="n">
        <v>24.3280647850214</v>
      </c>
      <c r="AC31" s="9" t="n">
        <v>0.0309329385705143</v>
      </c>
      <c r="AD31" s="9" t="n">
        <v>0.13648959784697</v>
      </c>
      <c r="AE31" s="4" t="s">
        <v>221</v>
      </c>
    </row>
    <row r="32" customFormat="false" ht="15" hidden="false" customHeight="false" outlineLevel="0" collapsed="false">
      <c r="A32" s="4" t="s">
        <v>222</v>
      </c>
      <c r="B32" s="4" t="s">
        <v>223</v>
      </c>
      <c r="C32" s="4" t="s">
        <v>107</v>
      </c>
      <c r="D32" s="4" t="s">
        <v>119</v>
      </c>
      <c r="E32" s="4" t="s">
        <v>101</v>
      </c>
      <c r="F32" s="4" t="s">
        <v>102</v>
      </c>
      <c r="G32" s="4" t="s">
        <v>103</v>
      </c>
      <c r="H32" s="6" t="n">
        <v>5</v>
      </c>
      <c r="I32" s="19" t="n">
        <v>200966</v>
      </c>
      <c r="J32" s="9" t="n">
        <v>0.198938314429393</v>
      </c>
      <c r="K32" s="9" t="n">
        <v>0.221670384982462</v>
      </c>
      <c r="L32" s="9" t="n">
        <v>0.414378551595792</v>
      </c>
      <c r="M32" s="6" t="n">
        <v>5</v>
      </c>
      <c r="N32" s="19" t="n">
        <v>46109</v>
      </c>
      <c r="O32" s="9" t="n">
        <v>0.229436820158634</v>
      </c>
      <c r="P32" s="6" t="n">
        <v>5</v>
      </c>
      <c r="Q32" s="6" t="n">
        <v>5</v>
      </c>
      <c r="R32" s="9" t="n">
        <v>0.299652194508718</v>
      </c>
      <c r="S32" s="9" t="n">
        <v>0.278296653977343</v>
      </c>
      <c r="T32" s="19" t="n">
        <v>2305</v>
      </c>
      <c r="U32" s="20" t="n">
        <v>0.0220472892833914</v>
      </c>
      <c r="V32" s="21" t="n">
        <v>71.4815450643777</v>
      </c>
      <c r="W32" s="9" t="n">
        <v>-0.0473723168023686</v>
      </c>
      <c r="X32" s="9" t="n">
        <v>0.101644059194093</v>
      </c>
      <c r="Y32" s="21" t="n">
        <v>28.5637309550353</v>
      </c>
      <c r="Z32" s="21" t="n">
        <v>23.7915481511581</v>
      </c>
      <c r="AA32" s="22" t="n">
        <f aca="false">IF(AND(ISNUMBER(Y32),ISNUMBER(Z32),Y32&gt;0,Z32&gt;0),Y32/Z32,"")</f>
        <v>1.2005831135308</v>
      </c>
      <c r="AB32" s="21" t="n">
        <v>18.0971808232183</v>
      </c>
      <c r="AC32" s="9" t="n">
        <v>0.0209502566613944</v>
      </c>
      <c r="AD32" s="9" t="n">
        <v>0.264505963745111</v>
      </c>
      <c r="AE32" s="4" t="s">
        <v>224</v>
      </c>
    </row>
    <row r="33" customFormat="false" ht="15" hidden="false" customHeight="false" outlineLevel="0" collapsed="false">
      <c r="A33" s="4" t="s">
        <v>225</v>
      </c>
      <c r="B33" s="4" t="s">
        <v>226</v>
      </c>
      <c r="C33" s="4" t="s">
        <v>148</v>
      </c>
      <c r="D33" s="4" t="s">
        <v>194</v>
      </c>
      <c r="E33" s="4" t="s">
        <v>101</v>
      </c>
      <c r="F33" s="4" t="s">
        <v>102</v>
      </c>
      <c r="G33" s="4" t="s">
        <v>103</v>
      </c>
      <c r="H33" s="6" t="n">
        <v>5</v>
      </c>
      <c r="I33" s="19" t="n">
        <v>64926</v>
      </c>
      <c r="J33" s="9" t="n">
        <v>0.0307725032388659</v>
      </c>
      <c r="K33" s="9" t="n">
        <v>0.0118127415534222</v>
      </c>
      <c r="L33" s="9" t="n">
        <v>0.361734898191788</v>
      </c>
      <c r="M33" s="6" t="n">
        <v>5</v>
      </c>
      <c r="N33" s="19" t="n">
        <v>12360</v>
      </c>
      <c r="O33" s="9" t="n">
        <v>0.190370575732372</v>
      </c>
      <c r="P33" s="6" t="n">
        <v>5</v>
      </c>
      <c r="Q33" s="6" t="n">
        <v>5</v>
      </c>
      <c r="R33" s="9" t="n">
        <v>0.209339170267739</v>
      </c>
      <c r="S33" s="9" t="n">
        <v>0.346625650374084</v>
      </c>
      <c r="T33" s="19" t="n">
        <v>35969</v>
      </c>
      <c r="U33" s="20" t="n">
        <v>1.27269832283632</v>
      </c>
      <c r="V33" s="21" t="n">
        <v>17.30729550479</v>
      </c>
      <c r="W33" s="9" t="n">
        <v>-0.0137686860739575</v>
      </c>
      <c r="X33" s="9" t="n">
        <v>0</v>
      </c>
      <c r="Y33" s="21" t="n">
        <v>113.940476190476</v>
      </c>
      <c r="Z33" s="21" t="n">
        <v>14.8527131782946</v>
      </c>
      <c r="AA33" s="22" t="n">
        <f aca="false">IF(AND(ISNUMBER(Y33),ISNUMBER(Z33),Y33&gt;0,Z33&gt;0),Y33/Z33,"")</f>
        <v>7.67135773933791</v>
      </c>
      <c r="AB33" s="21" t="n">
        <v>28.9197025850926</v>
      </c>
      <c r="AC33" s="9" t="n">
        <v>0.0451615361514982</v>
      </c>
      <c r="AD33" s="9" t="n">
        <v>0.0329159324461694</v>
      </c>
      <c r="AE33" s="4" t="s">
        <v>227</v>
      </c>
    </row>
    <row r="34" customFormat="false" ht="15" hidden="false" customHeight="false" outlineLevel="0" collapsed="false">
      <c r="A34" s="4" t="s">
        <v>228</v>
      </c>
      <c r="B34" s="4" t="s">
        <v>229</v>
      </c>
      <c r="C34" s="4" t="s">
        <v>135</v>
      </c>
      <c r="D34" s="4" t="s">
        <v>230</v>
      </c>
      <c r="E34" s="4" t="s">
        <v>101</v>
      </c>
      <c r="F34" s="4" t="s">
        <v>102</v>
      </c>
      <c r="G34" s="4" t="s">
        <v>103</v>
      </c>
      <c r="H34" s="6" t="n">
        <v>5</v>
      </c>
      <c r="I34" s="19" t="n">
        <v>26981</v>
      </c>
      <c r="J34" s="9" t="n">
        <v>0.0920003149421393</v>
      </c>
      <c r="K34" s="9" t="n">
        <v>0.103156431433478</v>
      </c>
      <c r="L34" s="9" t="n">
        <v>0.230643786368185</v>
      </c>
      <c r="M34" s="6" t="n">
        <v>5</v>
      </c>
      <c r="N34" s="19" t="n">
        <v>5001</v>
      </c>
      <c r="O34" s="9" t="n">
        <v>0.18535265557244</v>
      </c>
      <c r="P34" s="6" t="n">
        <v>5</v>
      </c>
      <c r="Q34" s="6" t="n">
        <v>5</v>
      </c>
      <c r="R34" s="9" t="n">
        <v>0.144266514071074</v>
      </c>
      <c r="S34" s="9" t="n">
        <v>0.271629121776037</v>
      </c>
      <c r="T34" s="19" t="n">
        <v>18762</v>
      </c>
      <c r="U34" s="20" t="n">
        <v>2.53711967545639</v>
      </c>
      <c r="V34" s="21" t="n">
        <v>6.48229166666667</v>
      </c>
      <c r="W34" s="9" t="n">
        <v>-0.0297029702970297</v>
      </c>
      <c r="X34" s="9" t="n">
        <v>0.0146028686853712</v>
      </c>
      <c r="Y34" s="21" t="n">
        <v>21.5194884287454</v>
      </c>
      <c r="Z34" s="21" t="n">
        <v>25.7466666666667</v>
      </c>
      <c r="AA34" s="22" t="n">
        <f aca="false">IF(AND(ISNUMBER(Y34),ISNUMBER(Z34),Y34&gt;0,Z34&gt;0),Y34/Z34,"")</f>
        <v>0.835816484803681</v>
      </c>
      <c r="AB34" s="21" t="n">
        <v>17.5838721778597</v>
      </c>
      <c r="AC34" s="9" t="n">
        <v>0.0565404632147492</v>
      </c>
      <c r="AD34" s="9" t="n">
        <v>0.058911118194285</v>
      </c>
      <c r="AE34" s="4" t="s">
        <v>231</v>
      </c>
    </row>
    <row r="35" customFormat="false" ht="15" hidden="false" customHeight="false" outlineLevel="0" collapsed="false">
      <c r="A35" s="4" t="s">
        <v>232</v>
      </c>
      <c r="B35" s="4" t="s">
        <v>233</v>
      </c>
      <c r="C35" s="4" t="s">
        <v>135</v>
      </c>
      <c r="D35" s="4" t="s">
        <v>161</v>
      </c>
      <c r="E35" s="4" t="s">
        <v>101</v>
      </c>
      <c r="F35" s="4" t="s">
        <v>137</v>
      </c>
      <c r="G35" s="4" t="s">
        <v>103</v>
      </c>
      <c r="H35" s="6" t="n">
        <v>5</v>
      </c>
      <c r="I35" s="19" t="n">
        <v>114983</v>
      </c>
      <c r="J35" s="9" t="n">
        <v>0.225468555958647</v>
      </c>
      <c r="K35" s="9" t="n">
        <v>0.114770468757574</v>
      </c>
      <c r="L35" s="9" t="n">
        <v>0.190932572641173</v>
      </c>
      <c r="M35" s="6" t="n">
        <v>5</v>
      </c>
      <c r="N35" s="19" t="n">
        <v>46100</v>
      </c>
      <c r="O35" s="9" t="n">
        <v>0.400928832957916</v>
      </c>
      <c r="P35" s="6" t="n">
        <v>2</v>
      </c>
      <c r="Q35" s="6" t="n">
        <v>3</v>
      </c>
      <c r="R35" s="9" t="n">
        <v>0.359521154204929</v>
      </c>
      <c r="S35" s="9" t="n">
        <v>0.14967333025601</v>
      </c>
      <c r="T35" s="19" t="n">
        <v>-64411</v>
      </c>
      <c r="U35" s="20" t="n">
        <v>-2.42037426724786</v>
      </c>
      <c r="V35" s="21" t="n">
        <v>0.447885427504743</v>
      </c>
      <c r="W35" s="9" t="n">
        <v>-0.0700525394045534</v>
      </c>
      <c r="X35" s="9" t="n">
        <v>0.0167503022185888</v>
      </c>
      <c r="Y35" s="21" t="n">
        <v>15.1463022508039</v>
      </c>
      <c r="Z35" s="21" t="n">
        <v>15.636815920398</v>
      </c>
      <c r="AA35" s="22" t="n">
        <f aca="false">IF(AND(ISNUMBER(Y35),ISNUMBER(Z35),Y35&gt;0,Z35&gt;0),Y35/Z35,"")</f>
        <v>0.968630847092452</v>
      </c>
      <c r="AB35" s="21" t="n">
        <v>21.6580934760549</v>
      </c>
      <c r="AC35" s="9" t="n">
        <v>-0.052774124550358</v>
      </c>
      <c r="AD35" s="9" t="n">
        <v>-0.289130855987407</v>
      </c>
      <c r="AE35" s="4" t="s">
        <v>234</v>
      </c>
    </row>
    <row r="36" customFormat="false" ht="15" hidden="false" customHeight="false" outlineLevel="0" collapsed="false">
      <c r="A36" s="4" t="s">
        <v>235</v>
      </c>
      <c r="B36" s="4" t="s">
        <v>236</v>
      </c>
      <c r="C36" s="4" t="s">
        <v>107</v>
      </c>
      <c r="D36" s="4" t="s">
        <v>108</v>
      </c>
      <c r="E36" s="4" t="s">
        <v>101</v>
      </c>
      <c r="F36" s="4" t="s">
        <v>102</v>
      </c>
      <c r="G36" s="4" t="s">
        <v>115</v>
      </c>
      <c r="H36" s="6" t="n">
        <v>5</v>
      </c>
      <c r="I36" s="19" t="n">
        <v>331839</v>
      </c>
      <c r="J36" s="9" t="n">
        <v>0.16123979158202</v>
      </c>
      <c r="K36" s="9" t="n">
        <v>0.177886867998467</v>
      </c>
      <c r="L36" s="9" t="n">
        <v>0.467808184089272</v>
      </c>
      <c r="M36" s="6" t="n">
        <v>5</v>
      </c>
      <c r="N36" s="19" t="n">
        <v>66987</v>
      </c>
      <c r="O36" s="9" t="n">
        <v>0.20186596512164</v>
      </c>
      <c r="P36" s="6" t="n">
        <v>5</v>
      </c>
      <c r="Q36" s="6" t="n">
        <v>5</v>
      </c>
      <c r="R36" s="9" t="n">
        <v>0.248076584249734</v>
      </c>
      <c r="S36" s="9" t="n">
        <v>0.30233483352811</v>
      </c>
      <c r="T36" s="19" t="n">
        <v>51965.3</v>
      </c>
      <c r="U36" s="20" t="n">
        <v>0.250412251408305</v>
      </c>
      <c r="V36" s="21" t="n">
        <v>50.8806948541462</v>
      </c>
      <c r="W36" s="9" t="n">
        <v>-0.00254282655246252</v>
      </c>
      <c r="X36" s="9" t="n">
        <v>0.0373825861336371</v>
      </c>
      <c r="Y36" s="21" t="n">
        <v>30.0638888888889</v>
      </c>
      <c r="Z36" s="21" t="n">
        <v>35.0349794238683</v>
      </c>
      <c r="AA36" s="22" t="n">
        <f aca="false">IF(AND(ISNUMBER(Y36),ISNUMBER(Z36),Y36&gt;0,Z36&gt;0),Y36/Z36,"")</f>
        <v>0.858110647794679</v>
      </c>
      <c r="AB36" s="21" t="n">
        <v>19.423581470393</v>
      </c>
      <c r="AC36" s="9" t="n">
        <v>0.0166703316058185</v>
      </c>
      <c r="AD36" s="9" t="n">
        <v>0.177635829528777</v>
      </c>
      <c r="AE36" s="4" t="s">
        <v>237</v>
      </c>
    </row>
    <row r="37" customFormat="false" ht="15" hidden="false" customHeight="false" outlineLevel="0" collapsed="false">
      <c r="A37" s="4" t="s">
        <v>238</v>
      </c>
      <c r="B37" s="4" t="s">
        <v>239</v>
      </c>
      <c r="C37" s="4" t="s">
        <v>107</v>
      </c>
      <c r="D37" s="4" t="s">
        <v>202</v>
      </c>
      <c r="E37" s="4" t="s">
        <v>101</v>
      </c>
      <c r="F37" s="4" t="s">
        <v>102</v>
      </c>
      <c r="G37" s="4" t="s">
        <v>240</v>
      </c>
      <c r="H37" s="6" t="n">
        <v>5</v>
      </c>
      <c r="I37" s="19" t="n">
        <v>133188</v>
      </c>
      <c r="J37" s="9" t="n">
        <v>1.04646675703818</v>
      </c>
      <c r="K37" s="9" t="n">
        <v>2.56327251324308</v>
      </c>
      <c r="L37" s="9" t="n">
        <v>0.750120130942728</v>
      </c>
      <c r="M37" s="6" t="n">
        <v>4</v>
      </c>
      <c r="N37" s="19" t="n">
        <v>58963</v>
      </c>
      <c r="O37" s="9" t="n">
        <v>0.442705048502868</v>
      </c>
      <c r="P37" s="6" t="n">
        <v>4</v>
      </c>
      <c r="Q37" s="6" t="n">
        <v>5</v>
      </c>
      <c r="R37" s="9" t="n">
        <v>0.788295696293559</v>
      </c>
      <c r="S37" s="9" t="n">
        <v>0.614035468065733</v>
      </c>
      <c r="T37" s="19" t="n">
        <v>-38255</v>
      </c>
      <c r="U37" s="20" t="n">
        <v>-0.349648112603967</v>
      </c>
      <c r="V37" s="21" t="n">
        <v>942.518867924528</v>
      </c>
      <c r="W37" s="9" t="n">
        <v>0.0457456541628545</v>
      </c>
      <c r="X37" s="9" t="n">
        <v>0.0100084091659909</v>
      </c>
      <c r="Y37" s="21" t="n">
        <v>12.5530474040632</v>
      </c>
      <c r="Z37" s="21" t="n">
        <v>14.3293881804955</v>
      </c>
      <c r="AA37" s="22" t="n">
        <f aca="false">IF(AND(ISNUMBER(Y37),ISNUMBER(Z37),Y37&gt;0,Z37&gt;0),Y37/Z37,"")</f>
        <v>0.876035127665104</v>
      </c>
      <c r="AB37" s="21" t="n">
        <v>9.48257027602596</v>
      </c>
      <c r="AC37" s="9" t="n">
        <v>0.0494156472733715</v>
      </c>
      <c r="AD37" s="9" t="n">
        <v>1.0808049424798</v>
      </c>
      <c r="AE37" s="4" t="s">
        <v>241</v>
      </c>
    </row>
    <row r="38" customFormat="false" ht="15" hidden="false" customHeight="false" outlineLevel="0" collapsed="false">
      <c r="A38" s="4" t="s">
        <v>242</v>
      </c>
      <c r="B38" s="4" t="s">
        <v>243</v>
      </c>
      <c r="C38" s="4" t="s">
        <v>99</v>
      </c>
      <c r="D38" s="4" t="s">
        <v>244</v>
      </c>
      <c r="E38" s="4" t="s">
        <v>101</v>
      </c>
      <c r="F38" s="4" t="s">
        <v>102</v>
      </c>
      <c r="G38" s="4" t="s">
        <v>103</v>
      </c>
      <c r="H38" s="6" t="n">
        <v>5</v>
      </c>
      <c r="I38" s="19" t="n">
        <v>45183.036</v>
      </c>
      <c r="J38" s="9" t="n">
        <v>0.126397183713607</v>
      </c>
      <c r="K38" s="9" t="n">
        <v>0.158510689196775</v>
      </c>
      <c r="L38" s="9" t="n">
        <v>0.294947046055073</v>
      </c>
      <c r="M38" s="6" t="n">
        <v>5</v>
      </c>
      <c r="N38" s="19" t="n">
        <v>9461.053</v>
      </c>
      <c r="O38" s="9" t="n">
        <v>0.209393919434719</v>
      </c>
      <c r="P38" s="6" t="n">
        <v>4</v>
      </c>
      <c r="Q38" s="6" t="n">
        <v>5</v>
      </c>
      <c r="R38" s="9" t="n">
        <v>0.32883645300087</v>
      </c>
      <c r="S38" s="9" t="n">
        <v>0.41258687422902</v>
      </c>
      <c r="T38" s="19" t="n">
        <v>5400.477</v>
      </c>
      <c r="U38" s="20" t="n">
        <v>0.178500921032978</v>
      </c>
      <c r="V38" s="21" t="n">
        <v>17.1621782076213</v>
      </c>
      <c r="W38" s="9" t="n">
        <v>-0.0433769859735426</v>
      </c>
      <c r="X38" s="9" t="n">
        <v>0.00815458704457133</v>
      </c>
      <c r="Y38" s="21" t="n">
        <v>22.094427244582</v>
      </c>
      <c r="Z38" s="21" t="n">
        <v>39.5853658536585</v>
      </c>
      <c r="AA38" s="22" t="n">
        <f aca="false">IF(AND(ISNUMBER(Y38),ISNUMBER(Z38),Y38&gt;0,Z38&gt;0),Y38/Z38,"")</f>
        <v>0.558146344441074</v>
      </c>
      <c r="AB38" s="21" t="n">
        <v>8.63694208566016</v>
      </c>
      <c r="AC38" s="9" t="n">
        <v>0.0369990037072612</v>
      </c>
      <c r="AD38" s="9" t="n">
        <v>0.133505037974872</v>
      </c>
      <c r="AE38" s="4" t="s">
        <v>245</v>
      </c>
    </row>
    <row r="39" customFormat="false" ht="15" hidden="false" customHeight="false" outlineLevel="0" collapsed="false">
      <c r="A39" s="4" t="s">
        <v>246</v>
      </c>
      <c r="B39" s="4" t="s">
        <v>247</v>
      </c>
      <c r="C39" s="4" t="s">
        <v>107</v>
      </c>
      <c r="D39" s="4" t="s">
        <v>248</v>
      </c>
      <c r="E39" s="4" t="s">
        <v>101</v>
      </c>
      <c r="F39" s="4" t="s">
        <v>102</v>
      </c>
      <c r="G39" s="4" t="s">
        <v>103</v>
      </c>
      <c r="H39" s="6" t="n">
        <v>5</v>
      </c>
      <c r="I39" s="19" t="n">
        <v>13278</v>
      </c>
      <c r="J39" s="9" t="n">
        <v>0.223765178647426</v>
      </c>
      <c r="K39" s="9" t="n">
        <v>0.208849235251275</v>
      </c>
      <c r="L39" s="9" t="n">
        <v>0.137370085856304</v>
      </c>
      <c r="M39" s="6" t="n">
        <v>5</v>
      </c>
      <c r="N39" s="19" t="n">
        <v>4576</v>
      </c>
      <c r="O39" s="9" t="n">
        <v>0.344630215393885</v>
      </c>
      <c r="P39" s="6" t="n">
        <v>5</v>
      </c>
      <c r="Q39" s="6" t="n">
        <v>5</v>
      </c>
      <c r="R39" s="9" t="n">
        <v>0.158643619949356</v>
      </c>
      <c r="S39" s="9" t="n">
        <v>0.134834927491515</v>
      </c>
      <c r="T39" s="19" t="n">
        <v>-3881</v>
      </c>
      <c r="U39" s="20" t="n">
        <v>-1.29409803267756</v>
      </c>
      <c r="V39" s="21" t="n">
        <v>79.304347826087</v>
      </c>
      <c r="W39" s="9" t="n">
        <v>0.028815682806397</v>
      </c>
      <c r="X39" s="9" t="n">
        <v>0.147236029522519</v>
      </c>
      <c r="Y39" s="21" t="n">
        <v>88.5714285714286</v>
      </c>
      <c r="Z39" s="21" t="n">
        <v>153.63768115942</v>
      </c>
      <c r="AA39" s="22" t="n">
        <f aca="false">IF(AND(ISNUMBER(Y39),ISNUMBER(Z39),Y39&gt;0,Z39&gt;0),Y39/Z39,"")</f>
        <v>0.57649547886318</v>
      </c>
      <c r="AB39" s="21" t="n">
        <v>43.2850432330181</v>
      </c>
      <c r="AC39" s="9" t="n">
        <v>0.0315706358583259</v>
      </c>
      <c r="AD39" s="9" t="n">
        <v>0.220827201385751</v>
      </c>
      <c r="AE39" s="4" t="s">
        <v>249</v>
      </c>
    </row>
    <row r="40" customFormat="false" ht="15" hidden="false" customHeight="false" outlineLevel="0" collapsed="false">
      <c r="A40" s="4" t="s">
        <v>250</v>
      </c>
      <c r="B40" s="4" t="s">
        <v>251</v>
      </c>
      <c r="C40" s="4" t="s">
        <v>107</v>
      </c>
      <c r="D40" s="4" t="s">
        <v>202</v>
      </c>
      <c r="E40" s="4" t="s">
        <v>101</v>
      </c>
      <c r="F40" s="4" t="s">
        <v>102</v>
      </c>
      <c r="G40" s="4" t="s">
        <v>252</v>
      </c>
      <c r="H40" s="6" t="n">
        <v>5</v>
      </c>
      <c r="I40" s="19" t="n">
        <v>215938</v>
      </c>
      <c r="J40" s="9" t="n">
        <v>1.0004509499444</v>
      </c>
      <c r="K40" s="9" t="n">
        <v>0.654735357900948</v>
      </c>
      <c r="L40" s="9" t="n">
        <v>0.603816836314127</v>
      </c>
      <c r="M40" s="6" t="n">
        <v>5</v>
      </c>
      <c r="N40" s="19" t="n">
        <v>96676</v>
      </c>
      <c r="O40" s="9" t="n">
        <v>0.447702581296483</v>
      </c>
      <c r="P40" s="6" t="n">
        <v>5</v>
      </c>
      <c r="Q40" s="6" t="n">
        <v>5</v>
      </c>
      <c r="R40" s="9" t="n">
        <v>0.970388133661174</v>
      </c>
      <c r="S40" s="9" t="n">
        <v>0.763333396908953</v>
      </c>
      <c r="T40" s="19" t="n">
        <v>-51144</v>
      </c>
      <c r="U40" s="20" t="n">
        <v>-0.353810393491616</v>
      </c>
      <c r="V40" s="21" t="n">
        <v>503.42471042471</v>
      </c>
      <c r="W40" s="9" t="n">
        <v>-0.0221779018747507</v>
      </c>
      <c r="X40" s="9" t="n">
        <v>0.029573303448212</v>
      </c>
      <c r="Y40" s="21" t="n">
        <v>28.4037735849057</v>
      </c>
      <c r="Z40" s="21" t="n">
        <v>51.6280991735537</v>
      </c>
      <c r="AA40" s="22" t="n">
        <f aca="false">IF(AND(ISNUMBER(Y40),ISNUMBER(Z40),Y40&gt;0,Z40&gt;0),Y40/Z40,"")</f>
        <v>0.550161133948068</v>
      </c>
      <c r="AB40" s="21" t="n">
        <v>23.2974330038394</v>
      </c>
      <c r="AC40" s="9" t="n">
        <v>0.0233780074140658</v>
      </c>
      <c r="AD40" s="9" t="n">
        <v>0.897751571617779</v>
      </c>
      <c r="AE40" s="4" t="s">
        <v>253</v>
      </c>
    </row>
    <row r="41" customFormat="false" ht="15" hidden="false" customHeight="false" outlineLevel="0" collapsed="false">
      <c r="A41" s="4" t="s">
        <v>254</v>
      </c>
      <c r="B41" s="4" t="s">
        <v>255</v>
      </c>
      <c r="C41" s="4" t="s">
        <v>135</v>
      </c>
      <c r="D41" s="4" t="s">
        <v>157</v>
      </c>
      <c r="E41" s="4" t="s">
        <v>101</v>
      </c>
      <c r="F41" s="4" t="s">
        <v>137</v>
      </c>
      <c r="G41" s="4" t="s">
        <v>103</v>
      </c>
      <c r="H41" s="6" t="n">
        <v>5</v>
      </c>
      <c r="I41" s="19" t="n">
        <v>87637</v>
      </c>
      <c r="J41" s="9" t="n">
        <v>0.209037828467005</v>
      </c>
      <c r="K41" s="9" t="n">
        <v>0.163173752040667</v>
      </c>
      <c r="L41" s="9" t="n">
        <v>0.16229446466675</v>
      </c>
      <c r="M41" s="6" t="n">
        <v>5</v>
      </c>
      <c r="N41" s="19" t="n">
        <v>17200</v>
      </c>
      <c r="O41" s="9" t="n">
        <v>0.196264135011468</v>
      </c>
      <c r="P41" s="6" t="n">
        <v>5</v>
      </c>
      <c r="Q41" s="6" t="n">
        <v>5</v>
      </c>
      <c r="R41" s="9" t="n">
        <v>0.646351242521859</v>
      </c>
      <c r="S41" s="9" t="n">
        <v>0.372918246875309</v>
      </c>
      <c r="T41" s="19" t="n">
        <v>-12939</v>
      </c>
      <c r="U41" s="20" t="n">
        <v>-0.873430538679627</v>
      </c>
      <c r="V41" s="21" t="n">
        <v>51.1618705035971</v>
      </c>
      <c r="W41" s="9" t="n">
        <v>0.00187361607903247</v>
      </c>
      <c r="X41" s="9" t="n">
        <v>0.00150621312915778</v>
      </c>
      <c r="Y41" s="21" t="n">
        <v>11.025025025025</v>
      </c>
      <c r="Z41" s="21" t="n">
        <v>18.0404217926186</v>
      </c>
      <c r="AA41" s="22" t="n">
        <f aca="false">IF(AND(ISNUMBER(Y41),ISNUMBER(Z41),Y41&gt;0,Z41&gt;0),Y41/Z41,"")</f>
        <v>0.611129005283901</v>
      </c>
      <c r="AB41" s="21" t="n">
        <v>8.93573967502273</v>
      </c>
      <c r="AC41" s="9" t="n">
        <v>0.123455433755355</v>
      </c>
      <c r="AD41" s="9" t="n">
        <v>0.00922874572383803</v>
      </c>
      <c r="AE41" s="4" t="s">
        <v>256</v>
      </c>
    </row>
    <row r="42" customFormat="false" ht="15" hidden="false" customHeight="false" outlineLevel="0" collapsed="false">
      <c r="A42" s="4" t="s">
        <v>257</v>
      </c>
      <c r="B42" s="4" t="s">
        <v>258</v>
      </c>
      <c r="C42" s="4" t="s">
        <v>206</v>
      </c>
      <c r="D42" s="4" t="s">
        <v>259</v>
      </c>
      <c r="E42" s="4" t="s">
        <v>101</v>
      </c>
      <c r="F42" s="4" t="s">
        <v>102</v>
      </c>
      <c r="G42" s="4" t="s">
        <v>103</v>
      </c>
      <c r="H42" s="6" t="n">
        <v>5</v>
      </c>
      <c r="I42" s="19" t="n">
        <v>40648</v>
      </c>
      <c r="J42" s="9" t="n">
        <v>0.0857015224550042</v>
      </c>
      <c r="K42" s="9" t="n">
        <v>0.0731295210940388</v>
      </c>
      <c r="L42" s="9" t="n">
        <v>0.366364888801417</v>
      </c>
      <c r="M42" s="6" t="n">
        <v>5</v>
      </c>
      <c r="N42" s="19" t="n">
        <v>10664</v>
      </c>
      <c r="O42" s="9" t="n">
        <v>0.262349931115922</v>
      </c>
      <c r="P42" s="6" t="n">
        <v>5</v>
      </c>
      <c r="Q42" s="6" t="n">
        <v>5</v>
      </c>
      <c r="R42" s="9" t="n">
        <v>0.327387783497983</v>
      </c>
      <c r="S42" s="9"/>
      <c r="T42" s="19" t="n">
        <v>43963</v>
      </c>
      <c r="U42" s="20" t="n">
        <v>2.34819997863476</v>
      </c>
      <c r="V42" s="21" t="n">
        <v>9.38374291115312</v>
      </c>
      <c r="W42" s="9" t="n">
        <v>0.00386597938144329</v>
      </c>
      <c r="X42" s="9" t="n">
        <v>0</v>
      </c>
      <c r="Y42" s="21" t="n">
        <v>28.8441091954023</v>
      </c>
      <c r="Z42" s="21" t="n">
        <v>18.7410358565737</v>
      </c>
      <c r="AA42" s="22" t="n">
        <f aca="false">IF(AND(ISNUMBER(Y42),ISNUMBER(Z42),Y42&gt;0,Z42&gt;0),Y42/Z42,"")</f>
        <v>1.53908830953358</v>
      </c>
      <c r="AB42" s="21" t="n">
        <v>19.0218396318658</v>
      </c>
      <c r="AC42" s="9" t="n">
        <v>0.0406585196573582</v>
      </c>
      <c r="AD42" s="9" t="n">
        <v>0.0717877103916551</v>
      </c>
      <c r="AE42" s="4" t="s">
        <v>260</v>
      </c>
    </row>
    <row r="43" customFormat="false" ht="15" hidden="false" customHeight="false" outlineLevel="0" collapsed="false">
      <c r="A43" s="4" t="s">
        <v>261</v>
      </c>
      <c r="B43" s="4" t="s">
        <v>262</v>
      </c>
      <c r="C43" s="4" t="s">
        <v>135</v>
      </c>
      <c r="D43" s="4" t="s">
        <v>161</v>
      </c>
      <c r="E43" s="4" t="s">
        <v>101</v>
      </c>
      <c r="F43" s="4" t="s">
        <v>137</v>
      </c>
      <c r="G43" s="4" t="s">
        <v>103</v>
      </c>
      <c r="H43" s="6" t="n">
        <v>5</v>
      </c>
      <c r="I43" s="19" t="n">
        <v>27675</v>
      </c>
      <c r="J43" s="9" t="n">
        <v>0.0745224346261411</v>
      </c>
      <c r="K43" s="9" t="n">
        <v>0.0644640178468403</v>
      </c>
      <c r="L43" s="9" t="n">
        <v>0.414056007226739</v>
      </c>
      <c r="M43" s="6" t="n">
        <v>5</v>
      </c>
      <c r="N43" s="19" t="n">
        <v>8763</v>
      </c>
      <c r="O43" s="9" t="n">
        <v>0.316639566395664</v>
      </c>
      <c r="P43" s="6" t="n">
        <v>5</v>
      </c>
      <c r="Q43" s="6" t="n">
        <v>5</v>
      </c>
      <c r="R43" s="9" t="n">
        <v>0.019516721438237</v>
      </c>
      <c r="S43" s="9" t="n">
        <v>0.179099645928174</v>
      </c>
      <c r="T43" s="19" t="n">
        <v>-77155</v>
      </c>
      <c r="U43" s="20" t="n">
        <v>-6.01786132126979</v>
      </c>
      <c r="V43" s="21" t="n">
        <v>3.05247735748535</v>
      </c>
      <c r="W43" s="9" t="n">
        <v>-0.0617740232312566</v>
      </c>
      <c r="X43" s="9" t="n">
        <v>0.0114543812104788</v>
      </c>
      <c r="Y43" s="21" t="n">
        <v>17.4184782608696</v>
      </c>
      <c r="Z43" s="21" t="n">
        <v>24.67</v>
      </c>
      <c r="AA43" s="22" t="n">
        <f aca="false">IF(AND(ISNUMBER(Y43),ISNUMBER(Z43),Y43&gt;0,Z43&gt;0),Y43/Z43,"")</f>
        <v>0.70605911069597</v>
      </c>
      <c r="AB43" s="21" t="n">
        <v>10.6032292577935</v>
      </c>
      <c r="AC43" s="9" t="n">
        <v>0.0221566644097966</v>
      </c>
      <c r="AD43" s="9" t="n">
        <v>0.0203998550677507</v>
      </c>
      <c r="AE43" s="4" t="s">
        <v>263</v>
      </c>
    </row>
    <row r="44" customFormat="false" ht="15" hidden="false" customHeight="false" outlineLevel="0" collapsed="false">
      <c r="A44" s="4" t="s">
        <v>264</v>
      </c>
      <c r="B44" s="4" t="s">
        <v>265</v>
      </c>
      <c r="C44" s="4" t="s">
        <v>113</v>
      </c>
      <c r="D44" s="4" t="s">
        <v>266</v>
      </c>
      <c r="E44" s="4" t="s">
        <v>101</v>
      </c>
      <c r="F44" s="4" t="s">
        <v>102</v>
      </c>
      <c r="G44" s="4" t="s">
        <v>103</v>
      </c>
      <c r="H44" s="6" t="n">
        <v>5</v>
      </c>
      <c r="I44" s="19" t="n">
        <v>11758.294</v>
      </c>
      <c r="J44" s="9" t="n">
        <v>0.280517238295153</v>
      </c>
      <c r="K44" s="9" t="n">
        <v>0.324132207207207</v>
      </c>
      <c r="L44" s="9" t="n">
        <v>0.163637939313305</v>
      </c>
      <c r="M44" s="6" t="n">
        <v>4</v>
      </c>
      <c r="N44" s="19" t="n">
        <v>2042.133604</v>
      </c>
      <c r="O44" s="9" t="n">
        <v>0.173676011503029</v>
      </c>
      <c r="P44" s="6" t="n">
        <v>4</v>
      </c>
      <c r="Q44" s="6" t="n">
        <v>4</v>
      </c>
      <c r="R44" s="9" t="n">
        <v>0.192556545477578</v>
      </c>
      <c r="S44" s="9" t="n">
        <v>0.0929673420915906</v>
      </c>
      <c r="T44" s="19" t="n">
        <v>-5579</v>
      </c>
      <c r="U44" s="20" t="n">
        <v>-2.85355809898507</v>
      </c>
      <c r="V44" s="21" t="n">
        <v>999</v>
      </c>
      <c r="W44" s="9" t="n">
        <v>0.0305502786651062</v>
      </c>
      <c r="X44" s="9" t="n">
        <v>0.0381858116492069</v>
      </c>
      <c r="Y44" s="21" t="n">
        <v>120</v>
      </c>
      <c r="Z44" s="21" t="n">
        <v>117.676418179406</v>
      </c>
      <c r="AA44" s="22" t="n">
        <f aca="false">IF(AND(ISNUMBER(Y44),ISNUMBER(Z44),Y44&gt;0,Z44&gt;0),Y44/Z44,"")</f>
        <v>1.01974551789172</v>
      </c>
      <c r="AB44" s="21" t="n">
        <v>96.2599821795407</v>
      </c>
      <c r="AC44" s="9" t="n">
        <v>0.0101370284317234</v>
      </c>
      <c r="AD44" s="9" t="n">
        <v>0.27952087930443</v>
      </c>
      <c r="AE44" s="4" t="s">
        <v>267</v>
      </c>
    </row>
    <row r="45" customFormat="false" ht="15" hidden="false" customHeight="false" outlineLevel="0" collapsed="false">
      <c r="A45" s="4" t="s">
        <v>268</v>
      </c>
      <c r="B45" s="4" t="s">
        <v>269</v>
      </c>
      <c r="C45" s="4" t="s">
        <v>99</v>
      </c>
      <c r="D45" s="4" t="s">
        <v>270</v>
      </c>
      <c r="E45" s="4" t="s">
        <v>101</v>
      </c>
      <c r="F45" s="4" t="s">
        <v>102</v>
      </c>
      <c r="G45" s="4" t="s">
        <v>103</v>
      </c>
      <c r="H45" s="6" t="n">
        <v>5</v>
      </c>
      <c r="I45" s="19" t="n">
        <v>15336</v>
      </c>
      <c r="J45" s="9" t="n">
        <v>0.111076130033863</v>
      </c>
      <c r="K45" s="9" t="n">
        <v>0.0793918918918919</v>
      </c>
      <c r="L45" s="9" t="n">
        <v>0.422404799165363</v>
      </c>
      <c r="M45" s="6" t="n">
        <v>5</v>
      </c>
      <c r="N45" s="19" t="n">
        <v>5456</v>
      </c>
      <c r="O45" s="9" t="n">
        <v>0.355764214919145</v>
      </c>
      <c r="P45" s="6" t="n">
        <v>5</v>
      </c>
      <c r="Q45" s="6" t="n">
        <v>5</v>
      </c>
      <c r="R45" s="9" t="n">
        <v>0.105407097691088</v>
      </c>
      <c r="S45" s="9" t="n">
        <v>0.123672272626687</v>
      </c>
      <c r="T45" s="19" t="n">
        <v>12399</v>
      </c>
      <c r="U45" s="20" t="n">
        <v>1.61172494475497</v>
      </c>
      <c r="V45" s="21" t="n">
        <v>22.5714285714286</v>
      </c>
      <c r="W45" s="9" t="n">
        <v>-0.0420722135007849</v>
      </c>
      <c r="X45" s="9" t="n">
        <v>0.0153886280646844</v>
      </c>
      <c r="Y45" s="21" t="n">
        <v>25.0876445526476</v>
      </c>
      <c r="Z45" s="21" t="n">
        <v>37.5740445859873</v>
      </c>
      <c r="AA45" s="22" t="n">
        <f aca="false">IF(AND(ISNUMBER(Y45),ISNUMBER(Z45),Y45&gt;0,Z45&gt;0),Y45/Z45,"")</f>
        <v>0.667685494842993</v>
      </c>
      <c r="AB45" s="21" t="n">
        <v>16.1809422632795</v>
      </c>
      <c r="AC45" s="9" t="n">
        <v>0.0458631745717509</v>
      </c>
      <c r="AD45" s="9" t="n">
        <v>-0.0322677479134064</v>
      </c>
      <c r="AE45" s="4" t="s">
        <v>271</v>
      </c>
    </row>
    <row r="46" customFormat="false" ht="15" hidden="false" customHeight="false" outlineLevel="0" collapsed="false">
      <c r="A46" s="4" t="s">
        <v>272</v>
      </c>
      <c r="B46" s="4" t="s">
        <v>273</v>
      </c>
      <c r="C46" s="4" t="s">
        <v>148</v>
      </c>
      <c r="D46" s="4" t="s">
        <v>149</v>
      </c>
      <c r="E46" s="4" t="s">
        <v>101</v>
      </c>
      <c r="F46" s="4" t="s">
        <v>102</v>
      </c>
      <c r="G46" s="4" t="s">
        <v>103</v>
      </c>
      <c r="H46" s="6" t="n">
        <v>5</v>
      </c>
      <c r="I46" s="19" t="n">
        <v>25116</v>
      </c>
      <c r="J46" s="9" t="n">
        <v>0.108304800936146</v>
      </c>
      <c r="K46" s="9" t="n">
        <v>0.111573356937376</v>
      </c>
      <c r="L46" s="9" t="n">
        <v>0.194656792482879</v>
      </c>
      <c r="M46" s="6" t="n">
        <v>5</v>
      </c>
      <c r="N46" s="19" t="n">
        <v>4283</v>
      </c>
      <c r="O46" s="9" t="n">
        <v>0.170528746615703</v>
      </c>
      <c r="P46" s="6" t="n">
        <v>5</v>
      </c>
      <c r="Q46" s="6" t="n">
        <v>5</v>
      </c>
      <c r="R46" s="9" t="n">
        <v>0.111369953863899</v>
      </c>
      <c r="S46" s="9" t="n">
        <v>0.144781445138269</v>
      </c>
      <c r="T46" s="19" t="n">
        <v>12260</v>
      </c>
      <c r="U46" s="20" t="n">
        <v>1.9417168197656</v>
      </c>
      <c r="V46" s="21" t="n">
        <v>8.05436573311367</v>
      </c>
      <c r="W46" s="9" t="n">
        <v>0</v>
      </c>
      <c r="X46" s="9" t="n">
        <v>0.00967510750119446</v>
      </c>
      <c r="Y46" s="21" t="n">
        <v>29.0441932168551</v>
      </c>
      <c r="Z46" s="21" t="n">
        <v>41.3981154299176</v>
      </c>
      <c r="AA46" s="22" t="n">
        <f aca="false">IF(AND(ISNUMBER(Y46),ISNUMBER(Z46),Y46&gt;0,Z46&gt;0),Y46/Z46,"")</f>
        <v>0.701582497542037</v>
      </c>
      <c r="AB46" s="21" t="n">
        <v>17.9152348088763</v>
      </c>
      <c r="AC46" s="9" t="n">
        <v>0.0434013069479369</v>
      </c>
      <c r="AD46" s="9" t="n">
        <v>0.082487554188565</v>
      </c>
      <c r="AE46" s="4" t="s">
        <v>274</v>
      </c>
    </row>
    <row r="47" customFormat="false" ht="15" hidden="false" customHeight="false" outlineLevel="0" collapsed="false">
      <c r="A47" s="4" t="s">
        <v>275</v>
      </c>
      <c r="B47" s="4" t="s">
        <v>276</v>
      </c>
      <c r="C47" s="4" t="s">
        <v>99</v>
      </c>
      <c r="D47" s="4" t="s">
        <v>277</v>
      </c>
      <c r="E47" s="4" t="s">
        <v>101</v>
      </c>
      <c r="F47" s="4" t="s">
        <v>102</v>
      </c>
      <c r="G47" s="4" t="s">
        <v>165</v>
      </c>
      <c r="H47" s="6" t="n">
        <v>5</v>
      </c>
      <c r="I47" s="19" t="n">
        <v>60372</v>
      </c>
      <c r="J47" s="9" t="n">
        <v>0.065304931236718</v>
      </c>
      <c r="K47" s="9" t="n">
        <v>0.0711852377572746</v>
      </c>
      <c r="L47" s="9" t="n">
        <v>0.118896177035712</v>
      </c>
      <c r="M47" s="6" t="n">
        <v>5</v>
      </c>
      <c r="N47" s="19" t="n">
        <v>4917</v>
      </c>
      <c r="O47" s="9" t="n">
        <v>0.0814450407473663</v>
      </c>
      <c r="P47" s="6" t="n">
        <v>5</v>
      </c>
      <c r="Q47" s="6" t="n">
        <v>5</v>
      </c>
      <c r="R47" s="9" t="n">
        <v>0.32498252048828</v>
      </c>
      <c r="S47" s="9" t="n">
        <v>0.539156035328754</v>
      </c>
      <c r="T47" s="19" t="n">
        <v>7259</v>
      </c>
      <c r="U47" s="20" t="n">
        <v>0.849403229581091</v>
      </c>
      <c r="V47" s="21" t="n">
        <v>97</v>
      </c>
      <c r="W47" s="9" t="n">
        <v>-0.0449915110356537</v>
      </c>
      <c r="X47" s="9" t="n">
        <v>0.00354468959120122</v>
      </c>
      <c r="Y47" s="21" t="n">
        <v>26.2329020332717</v>
      </c>
      <c r="Z47" s="21" t="n">
        <v>27.2866666666667</v>
      </c>
      <c r="AA47" s="22" t="n">
        <f aca="false">IF(AND(ISNUMBER(Y47),ISNUMBER(Z47),Y47&gt;0,Z47&gt;0),Y47/Z47,"")</f>
        <v>0.961381701683547</v>
      </c>
      <c r="AB47" s="21" t="n">
        <v>18.1574256884577</v>
      </c>
      <c r="AC47" s="9" t="n">
        <v>0.0375720120698731</v>
      </c>
      <c r="AD47" s="9" t="n">
        <v>0.060407723978003</v>
      </c>
      <c r="AE47" s="4" t="s">
        <v>278</v>
      </c>
    </row>
    <row r="48" customFormat="false" ht="15" hidden="false" customHeight="false" outlineLevel="0" collapsed="false">
      <c r="A48" s="4" t="s">
        <v>279</v>
      </c>
      <c r="B48" s="4" t="s">
        <v>280</v>
      </c>
      <c r="C48" s="4" t="s">
        <v>107</v>
      </c>
      <c r="D48" s="4" t="s">
        <v>202</v>
      </c>
      <c r="E48" s="4" t="s">
        <v>281</v>
      </c>
      <c r="F48" s="4" t="s">
        <v>102</v>
      </c>
      <c r="G48" s="4" t="s">
        <v>103</v>
      </c>
      <c r="H48" s="6" t="n">
        <v>5</v>
      </c>
      <c r="I48" s="19" t="n">
        <v>3809054</v>
      </c>
      <c r="J48" s="9" t="n">
        <v>0.189379694202662</v>
      </c>
      <c r="K48" s="9" t="n">
        <v>0.316049985005051</v>
      </c>
      <c r="L48" s="9" t="n">
        <v>0.50816948250143</v>
      </c>
      <c r="M48" s="6" t="n">
        <v>5</v>
      </c>
      <c r="N48" s="19" t="n">
        <v>1086331</v>
      </c>
      <c r="O48" s="9" t="n">
        <v>0.285197059427354</v>
      </c>
      <c r="P48" s="6" t="n">
        <v>5</v>
      </c>
      <c r="Q48" s="6" t="n">
        <v>5</v>
      </c>
      <c r="R48" s="9" t="n">
        <v>0.442364834559257</v>
      </c>
      <c r="S48" s="9" t="n">
        <v>0.31458478115366</v>
      </c>
      <c r="T48" s="19" t="n">
        <v>-2004011.299</v>
      </c>
      <c r="U48" s="20" t="n">
        <v>-0.735616214226091</v>
      </c>
      <c r="V48" s="21" t="n">
        <v>156.473921619349</v>
      </c>
      <c r="W48" s="9" t="n">
        <v>5.27205053455493E-005</v>
      </c>
      <c r="X48" s="9" t="n">
        <v>0</v>
      </c>
      <c r="Y48" s="21" t="n">
        <v>28.8628723774197</v>
      </c>
      <c r="Z48" s="21" t="n">
        <v>23.3997584541063</v>
      </c>
      <c r="AA48" s="22" t="n">
        <f aca="false">IF(AND(ISNUMBER(Y48),ISNUMBER(Z48),Y48&gt;0,Z48&gt;0),Y48/Z48,"")</f>
        <v>1.23346881695502</v>
      </c>
      <c r="AB48" s="21" t="n">
        <v>19.1499165404594</v>
      </c>
      <c r="AC48" s="9" t="n">
        <v>0.0173213472575809</v>
      </c>
      <c r="AD48" s="9" t="n">
        <v>0.437159691326508</v>
      </c>
      <c r="AE48" s="4" t="s">
        <v>282</v>
      </c>
    </row>
    <row r="49" customFormat="false" ht="15" hidden="false" customHeight="false" outlineLevel="0" collapsed="false">
      <c r="A49" s="4" t="s">
        <v>283</v>
      </c>
      <c r="B49" s="4" t="s">
        <v>284</v>
      </c>
      <c r="C49" s="4" t="s">
        <v>135</v>
      </c>
      <c r="D49" s="4" t="s">
        <v>136</v>
      </c>
      <c r="E49" s="4" t="s">
        <v>101</v>
      </c>
      <c r="F49" s="4" t="s">
        <v>102</v>
      </c>
      <c r="G49" s="4" t="s">
        <v>285</v>
      </c>
      <c r="H49" s="6" t="n">
        <v>5</v>
      </c>
      <c r="I49" s="19" t="n">
        <v>40000</v>
      </c>
      <c r="J49" s="9" t="n">
        <v>0.109212421302543</v>
      </c>
      <c r="K49" s="9" t="n">
        <v>0.113399766186049</v>
      </c>
      <c r="L49" s="9" t="n">
        <v>0.59985</v>
      </c>
      <c r="M49" s="6" t="n">
        <v>5</v>
      </c>
      <c r="N49" s="19" t="n">
        <v>21577</v>
      </c>
      <c r="O49" s="9" t="n">
        <v>0.539425</v>
      </c>
      <c r="P49" s="6" t="n">
        <v>5</v>
      </c>
      <c r="Q49" s="6" t="n">
        <v>5</v>
      </c>
      <c r="R49" s="9" t="n">
        <v>0.461277103156255</v>
      </c>
      <c r="S49" s="9" t="n">
        <v>0.529109182516025</v>
      </c>
      <c r="T49" s="19" t="n">
        <v>3184</v>
      </c>
      <c r="U49" s="20" t="n">
        <v>0.122447409914241</v>
      </c>
      <c r="V49" s="21" t="n">
        <v>40.7368421052632</v>
      </c>
      <c r="W49" s="9" t="n">
        <v>-0.0795880149812734</v>
      </c>
      <c r="X49" s="9" t="n">
        <v>0.022425</v>
      </c>
      <c r="Y49" s="21" t="n">
        <v>33.3810535259133</v>
      </c>
      <c r="Z49" s="21" t="n">
        <v>28.2289527720739</v>
      </c>
      <c r="AA49" s="22" t="n">
        <f aca="false">IF(AND(ISNUMBER(Y49),ISNUMBER(Z49),Y49&gt;0,Z49&gt;0),Y49/Z49,"")</f>
        <v>1.18251122510419</v>
      </c>
      <c r="AB49" s="21" t="n">
        <v>25.6049389637088</v>
      </c>
      <c r="AC49" s="9" t="n">
        <v>0.02864549020615</v>
      </c>
      <c r="AD49" s="9" t="n">
        <v>0.270548599625</v>
      </c>
      <c r="AE49" s="4" t="s">
        <v>286</v>
      </c>
    </row>
    <row r="50" customFormat="false" ht="15" hidden="false" customHeight="false" outlineLevel="0" collapsed="false">
      <c r="A50" s="4" t="s">
        <v>287</v>
      </c>
      <c r="B50" s="4" t="s">
        <v>288</v>
      </c>
      <c r="C50" s="4" t="s">
        <v>148</v>
      </c>
      <c r="D50" s="4" t="s">
        <v>289</v>
      </c>
      <c r="E50" s="4" t="s">
        <v>101</v>
      </c>
      <c r="F50" s="4" t="s">
        <v>102</v>
      </c>
      <c r="G50" s="4" t="s">
        <v>103</v>
      </c>
      <c r="H50" s="6" t="n">
        <v>5</v>
      </c>
      <c r="I50" s="19" t="n">
        <v>12074.6</v>
      </c>
      <c r="J50" s="9" t="n">
        <v>0.105763925211269</v>
      </c>
      <c r="K50" s="9" t="n">
        <v>0.0956887868531138</v>
      </c>
      <c r="L50" s="9" t="n">
        <v>0.394273930399351</v>
      </c>
      <c r="M50" s="6" t="n">
        <v>4</v>
      </c>
      <c r="N50" s="19" t="n">
        <v>3193.8</v>
      </c>
      <c r="O50" s="9" t="n">
        <v>0.264505656502079</v>
      </c>
      <c r="P50" s="6" t="n">
        <v>4</v>
      </c>
      <c r="Q50" s="6" t="n">
        <v>4</v>
      </c>
      <c r="R50" s="9" t="n">
        <v>0.235985806791657</v>
      </c>
      <c r="S50" s="9" t="n">
        <v>0.211788404461636</v>
      </c>
      <c r="T50" s="19" t="n">
        <v>-2728.6</v>
      </c>
      <c r="U50" s="20" t="n">
        <v>-0.560713478412757</v>
      </c>
      <c r="V50" s="21" t="n">
        <v>357.947368421053</v>
      </c>
      <c r="W50" s="9" t="n">
        <v>-0.004245465071401</v>
      </c>
      <c r="X50" s="9" t="n">
        <v>0.0568051943749689</v>
      </c>
      <c r="Y50" s="21" t="n">
        <v>28.6521247113164</v>
      </c>
      <c r="Z50" s="21" t="n">
        <v>26.5592790951693</v>
      </c>
      <c r="AA50" s="22" t="n">
        <f aca="false">IF(AND(ISNUMBER(Y50),ISNUMBER(Z50),Y50&gt;0,Z50&gt;0),Y50/Z50,"")</f>
        <v>1.07879903700126</v>
      </c>
      <c r="AB50" s="21" t="n">
        <v>22.1325844836107</v>
      </c>
      <c r="AC50" s="9" t="n">
        <v>0.0301338064609372</v>
      </c>
      <c r="AD50" s="9" t="n">
        <v>0.0970691408411044</v>
      </c>
      <c r="AE50" s="4" t="s">
        <v>290</v>
      </c>
    </row>
    <row r="51" customFormat="false" ht="15" hidden="false" customHeight="false" outlineLevel="0" collapsed="false">
      <c r="A51" s="4" t="s">
        <v>291</v>
      </c>
      <c r="B51" s="4" t="s">
        <v>292</v>
      </c>
      <c r="C51" s="4" t="s">
        <v>135</v>
      </c>
      <c r="D51" s="4" t="s">
        <v>293</v>
      </c>
      <c r="E51" s="4" t="s">
        <v>101</v>
      </c>
      <c r="F51" s="4" t="s">
        <v>137</v>
      </c>
      <c r="G51" s="4" t="s">
        <v>103</v>
      </c>
      <c r="H51" s="6" t="n">
        <v>5</v>
      </c>
      <c r="I51" s="19" t="n">
        <v>123529</v>
      </c>
      <c r="J51" s="9" t="n">
        <v>0.139711000799621</v>
      </c>
      <c r="K51" s="9" t="n">
        <v>-0.0148966881185355</v>
      </c>
      <c r="L51" s="9" t="n">
        <v>0.203992584737187</v>
      </c>
      <c r="M51" s="6" t="n">
        <v>5</v>
      </c>
      <c r="N51" s="19" t="n">
        <v>-19001</v>
      </c>
      <c r="O51" s="9" t="n">
        <v>-0.153818131774725</v>
      </c>
      <c r="P51" s="6" t="n">
        <v>3</v>
      </c>
      <c r="Q51" s="6" t="n">
        <v>3</v>
      </c>
      <c r="R51" s="9" t="n">
        <v>0.145088880304941</v>
      </c>
      <c r="S51" s="9" t="n">
        <v>0.116576885674013</v>
      </c>
      <c r="T51" s="19" t="n">
        <v>-45831</v>
      </c>
      <c r="U51" s="20" t="n">
        <v>-1.39253159941663</v>
      </c>
      <c r="V51" s="21" t="n">
        <v>0.632663821240271</v>
      </c>
      <c r="W51" s="9" t="n">
        <v>-0.161480323169143</v>
      </c>
      <c r="X51" s="9" t="n">
        <v>0</v>
      </c>
      <c r="Y51" s="21" t="n">
        <v>11.5373961218837</v>
      </c>
      <c r="Z51" s="21" t="n">
        <v>12.9355432780847</v>
      </c>
      <c r="AA51" s="22" t="n">
        <f aca="false">IF(AND(ISNUMBER(Y51),ISNUMBER(Z51),Y51&gt;0,Z51&gt;0),Y51/Z51,"")</f>
        <v>0.891914307258375</v>
      </c>
      <c r="AB51" s="21" t="n">
        <v>9.20186000978953</v>
      </c>
      <c r="AC51" s="9" t="n">
        <v>0.0761018693191562</v>
      </c>
      <c r="AD51" s="9" t="n">
        <v>-0.281172868710991</v>
      </c>
      <c r="AE51" s="4" t="s">
        <v>294</v>
      </c>
    </row>
    <row r="52" customFormat="false" ht="15" hidden="false" customHeight="false" outlineLevel="0" collapsed="false">
      <c r="A52" s="4" t="s">
        <v>295</v>
      </c>
      <c r="B52" s="4" t="s">
        <v>296</v>
      </c>
      <c r="C52" s="4" t="s">
        <v>107</v>
      </c>
      <c r="D52" s="4" t="s">
        <v>297</v>
      </c>
      <c r="E52" s="4" t="s">
        <v>101</v>
      </c>
      <c r="F52" s="4" t="s">
        <v>102</v>
      </c>
      <c r="G52" s="4" t="s">
        <v>298</v>
      </c>
      <c r="H52" s="6" t="n">
        <v>5</v>
      </c>
      <c r="I52" s="19" t="n">
        <v>416161</v>
      </c>
      <c r="J52" s="9" t="n">
        <v>0.0181253574347939</v>
      </c>
      <c r="K52" s="9" t="n">
        <v>0.0642551178283275</v>
      </c>
      <c r="L52" s="9" t="n">
        <v>0.319707997625919</v>
      </c>
      <c r="M52" s="6" t="n">
        <v>5</v>
      </c>
      <c r="N52" s="19" t="n">
        <v>98767</v>
      </c>
      <c r="O52" s="9" t="n">
        <v>0.237328822258693</v>
      </c>
      <c r="P52" s="6" t="n">
        <v>5</v>
      </c>
      <c r="Q52" s="6" t="n">
        <v>5</v>
      </c>
      <c r="R52" s="9" t="n">
        <v>0.799840959418018</v>
      </c>
      <c r="S52" s="9" t="n">
        <v>1.51912983331751</v>
      </c>
      <c r="T52" s="19" t="n">
        <v>57680</v>
      </c>
      <c r="U52" s="20" t="n">
        <v>0.399371308688819</v>
      </c>
      <c r="V52" s="21" t="n">
        <v>999</v>
      </c>
      <c r="W52" s="9" t="n">
        <v>-0.0809222495974015</v>
      </c>
      <c r="X52" s="9" t="n">
        <v>0.0309087108114408</v>
      </c>
      <c r="Y52" s="21" t="n">
        <v>39.2328767123288</v>
      </c>
      <c r="Z52" s="21" t="n">
        <v>27.7938311688312</v>
      </c>
      <c r="AA52" s="22" t="n">
        <f aca="false">IF(AND(ISNUMBER(Y52),ISNUMBER(Z52),Y52&gt;0,Z52&gt;0),Y52/Z52,"")</f>
        <v>1.41156778545614</v>
      </c>
      <c r="AB52" s="21" t="n">
        <v>29.9889057566801</v>
      </c>
      <c r="AC52" s="9" t="n">
        <v>0.027293215930405</v>
      </c>
      <c r="AD52" s="9" t="n">
        <v>0.261390382412095</v>
      </c>
      <c r="AE52" s="4" t="s">
        <v>299</v>
      </c>
    </row>
    <row r="53" customFormat="false" ht="15" hidden="false" customHeight="false" outlineLevel="0" collapsed="false">
      <c r="A53" s="4" t="s">
        <v>300</v>
      </c>
      <c r="B53" s="4" t="s">
        <v>301</v>
      </c>
      <c r="C53" s="4" t="s">
        <v>148</v>
      </c>
      <c r="D53" s="4" t="s">
        <v>149</v>
      </c>
      <c r="E53" s="4" t="s">
        <v>101</v>
      </c>
      <c r="F53" s="4" t="s">
        <v>102</v>
      </c>
      <c r="G53" s="4" t="s">
        <v>103</v>
      </c>
      <c r="H53" s="6" t="n">
        <v>5</v>
      </c>
      <c r="I53" s="19" t="n">
        <v>44328</v>
      </c>
      <c r="J53" s="9" t="n">
        <v>0.00512794416964635</v>
      </c>
      <c r="K53" s="9" t="n">
        <v>0.0566865315852205</v>
      </c>
      <c r="L53" s="9" t="n">
        <v>0.181555675870781</v>
      </c>
      <c r="M53" s="6" t="n">
        <v>5</v>
      </c>
      <c r="N53" s="19" t="n">
        <v>7395</v>
      </c>
      <c r="O53" s="9" t="n">
        <v>0.16682458040065</v>
      </c>
      <c r="P53" s="6" t="n">
        <v>5</v>
      </c>
      <c r="Q53" s="6" t="n">
        <v>5</v>
      </c>
      <c r="R53" s="9" t="n">
        <v>0.107946145095842</v>
      </c>
      <c r="S53" s="9" t="n">
        <v>0.123628508082091</v>
      </c>
      <c r="T53" s="19" t="n">
        <v>6128</v>
      </c>
      <c r="U53" s="20" t="n">
        <v>0.513964606223266</v>
      </c>
      <c r="V53" s="21" t="n">
        <v>23.6011730205279</v>
      </c>
      <c r="W53" s="9" t="n">
        <v>-0.00963718820861681</v>
      </c>
      <c r="X53" s="9" t="n">
        <v>0.0149792456235337</v>
      </c>
      <c r="Y53" s="21" t="n">
        <v>32.7524115755627</v>
      </c>
      <c r="Z53" s="21" t="n">
        <v>33.3545454545455</v>
      </c>
      <c r="AA53" s="22" t="n">
        <f aca="false">IF(AND(ISNUMBER(Y53),ISNUMBER(Z53),Y53&gt;0,Z53&gt;0),Y53/Z53,"")</f>
        <v>0.981947471603134</v>
      </c>
      <c r="AB53" s="21" t="n">
        <v>17.8385233197952</v>
      </c>
      <c r="AC53" s="9" t="n">
        <v>0.0499612928550489</v>
      </c>
      <c r="AD53" s="9" t="n">
        <v>0.134858757963364</v>
      </c>
      <c r="AE53" s="4" t="s">
        <v>302</v>
      </c>
    </row>
    <row r="54" customFormat="false" ht="15" hidden="false" customHeight="false" outlineLevel="0" collapsed="false">
      <c r="A54" s="4" t="s">
        <v>303</v>
      </c>
      <c r="B54" s="4" t="s">
        <v>304</v>
      </c>
      <c r="C54" s="4"/>
      <c r="D54" s="4"/>
      <c r="E54" s="4" t="s">
        <v>101</v>
      </c>
      <c r="F54" s="4" t="s">
        <v>102</v>
      </c>
      <c r="G54" s="4" t="s">
        <v>305</v>
      </c>
      <c r="H54" s="6" t="n">
        <v>5</v>
      </c>
      <c r="I54" s="19" t="n">
        <v>34639</v>
      </c>
      <c r="J54" s="9" t="n">
        <v>0.136435993353684</v>
      </c>
      <c r="K54" s="9" t="n">
        <v>0.343377932906729</v>
      </c>
      <c r="L54" s="9" t="n">
        <v>0.106642801466555</v>
      </c>
      <c r="M54" s="6" t="n">
        <v>5</v>
      </c>
      <c r="N54" s="19" t="n">
        <v>6735</v>
      </c>
      <c r="O54" s="9" t="n">
        <v>0.194434019457837</v>
      </c>
      <c r="P54" s="6" t="n">
        <v>5</v>
      </c>
      <c r="Q54" s="6" t="n">
        <v>5</v>
      </c>
      <c r="R54" s="9" t="n">
        <v>0.0757728629013152</v>
      </c>
      <c r="S54" s="9" t="n">
        <v>0.0688106160415245</v>
      </c>
      <c r="T54" s="19" t="n">
        <v>-6080</v>
      </c>
      <c r="U54" s="20" t="n">
        <v>-0.83573883161512</v>
      </c>
      <c r="V54" s="21" t="n">
        <v>28.1984732824428</v>
      </c>
      <c r="W54" s="9" t="n">
        <v>0.0413749204328453</v>
      </c>
      <c r="X54" s="9" t="n">
        <v>0.0472877392534427</v>
      </c>
      <c r="Y54" s="21" t="n">
        <v>149.053304568528</v>
      </c>
      <c r="Z54" s="21" t="n">
        <v>80.5205992509363</v>
      </c>
      <c r="AA54" s="22" t="n">
        <f aca="false">IF(AND(ISNUMBER(Y54),ISNUMBER(Z54),Y54&gt;0,Z54&gt;0),Y54/Z54,"")</f>
        <v>1.851120159998</v>
      </c>
      <c r="AB54" s="21" t="n">
        <v>89.2696859346893</v>
      </c>
      <c r="AC54" s="9" t="n">
        <v>0.00877503980407742</v>
      </c>
      <c r="AD54" s="9" t="n">
        <v>0.473884825399117</v>
      </c>
      <c r="AE54" s="4" t="s">
        <v>306</v>
      </c>
    </row>
    <row r="55" customFormat="false" ht="15" hidden="false" customHeight="false" outlineLevel="0" collapsed="false">
      <c r="A55" s="4" t="s">
        <v>307</v>
      </c>
      <c r="B55" s="4" t="s">
        <v>308</v>
      </c>
      <c r="C55" s="4" t="s">
        <v>148</v>
      </c>
      <c r="D55" s="4" t="s">
        <v>289</v>
      </c>
      <c r="E55" s="4" t="s">
        <v>101</v>
      </c>
      <c r="F55" s="4" t="s">
        <v>102</v>
      </c>
      <c r="G55" s="4" t="s">
        <v>103</v>
      </c>
      <c r="H55" s="6" t="n">
        <v>5</v>
      </c>
      <c r="I55" s="19" t="n">
        <v>36741</v>
      </c>
      <c r="J55" s="9" t="n">
        <v>0.117562609119851</v>
      </c>
      <c r="K55" s="9" t="n">
        <v>0.0992400670177118</v>
      </c>
      <c r="L55" s="9" t="n">
        <v>0.290574562477886</v>
      </c>
      <c r="M55" s="6" t="n">
        <v>5</v>
      </c>
      <c r="N55" s="19" t="n">
        <v>8100</v>
      </c>
      <c r="O55" s="9" t="n">
        <v>0.220462153996897</v>
      </c>
      <c r="P55" s="6" t="n">
        <v>5</v>
      </c>
      <c r="Q55" s="6" t="n">
        <v>5</v>
      </c>
      <c r="R55" s="9" t="n">
        <v>0.15580219090019</v>
      </c>
      <c r="S55" s="9" t="n">
        <v>0.890621390621391</v>
      </c>
      <c r="T55" s="19" t="n">
        <v>45475</v>
      </c>
      <c r="U55" s="20" t="n">
        <v>2.69114688128773</v>
      </c>
      <c r="V55" s="21" t="n">
        <v>3.87513611615245</v>
      </c>
      <c r="W55" s="9" t="n">
        <v>0.00184842883548986</v>
      </c>
      <c r="X55" s="9" t="n">
        <v>0.0134454696388231</v>
      </c>
      <c r="Y55" s="21" t="n">
        <v>25.6743773119605</v>
      </c>
      <c r="Z55" s="21" t="n">
        <v>22.840893230984</v>
      </c>
      <c r="AA55" s="22" t="n">
        <f aca="false">IF(AND(ISNUMBER(Y55),ISNUMBER(Z55),Y55&gt;0,Z55&gt;0),Y55/Z55,"")</f>
        <v>1.12405312052915</v>
      </c>
      <c r="AB55" s="21" t="n">
        <v>15.2484312200658</v>
      </c>
      <c r="AC55" s="9" t="n">
        <v>0.0451434008491784</v>
      </c>
      <c r="AD55" s="9" t="n">
        <v>0.0612992859475789</v>
      </c>
      <c r="AE55" s="4" t="s">
        <v>309</v>
      </c>
    </row>
    <row r="56" customFormat="false" ht="15" hidden="false" customHeight="false" outlineLevel="0" collapsed="false">
      <c r="A56" s="4" t="s">
        <v>310</v>
      </c>
      <c r="B56" s="4" t="s">
        <v>311</v>
      </c>
      <c r="C56" s="4" t="s">
        <v>107</v>
      </c>
      <c r="D56" s="4" t="s">
        <v>202</v>
      </c>
      <c r="E56" s="4" t="s">
        <v>101</v>
      </c>
      <c r="F56" s="4" t="s">
        <v>102</v>
      </c>
      <c r="G56" s="4" t="s">
        <v>312</v>
      </c>
      <c r="H56" s="6" t="n">
        <v>5</v>
      </c>
      <c r="I56" s="19" t="n">
        <v>4920</v>
      </c>
      <c r="J56" s="9" t="n">
        <v>0.22460904564605</v>
      </c>
      <c r="K56" s="9" t="n">
        <v>0.227851260294485</v>
      </c>
      <c r="L56" s="9" t="n">
        <v>0.184552845528455</v>
      </c>
      <c r="M56" s="6" t="n">
        <v>5</v>
      </c>
      <c r="N56" s="19" t="n">
        <v>979</v>
      </c>
      <c r="O56" s="9" t="n">
        <v>0.198983739837398</v>
      </c>
      <c r="P56" s="6" t="n">
        <v>5</v>
      </c>
      <c r="Q56" s="6" t="n">
        <v>5</v>
      </c>
      <c r="R56" s="9" t="n">
        <v>0.13950213924543</v>
      </c>
      <c r="S56" s="9" t="n">
        <v>0.109099686217717</v>
      </c>
      <c r="T56" s="19" t="n">
        <v>-3144</v>
      </c>
      <c r="U56" s="20" t="n">
        <v>-2.23613086770982</v>
      </c>
      <c r="V56" s="21" t="n">
        <v>999</v>
      </c>
      <c r="W56" s="9" t="n">
        <v>0.0408800209411027</v>
      </c>
      <c r="X56" s="9" t="n">
        <v>0.213821138211382</v>
      </c>
      <c r="Y56" s="21" t="n">
        <v>258.999484536083</v>
      </c>
      <c r="Z56" s="21" t="n">
        <v>142.386666666667</v>
      </c>
      <c r="AA56" s="22" t="n">
        <f aca="false">IF(AND(ISNUMBER(Y56),ISNUMBER(Z56),Y56&gt;0,Z56&gt;0),Y56/Z56,"")</f>
        <v>1.81898692201575</v>
      </c>
      <c r="AB56" s="21" t="n">
        <v>193.546792782957</v>
      </c>
      <c r="AC56" s="9" t="n">
        <v>0.00549358917635112</v>
      </c>
      <c r="AD56" s="9" t="n">
        <v>0.234844985162602</v>
      </c>
      <c r="AE56" s="4" t="s">
        <v>313</v>
      </c>
    </row>
    <row r="57" customFormat="false" ht="15" hidden="false" customHeight="false" outlineLevel="0" collapsed="false">
      <c r="A57" s="4" t="s">
        <v>314</v>
      </c>
      <c r="B57" s="4" t="s">
        <v>315</v>
      </c>
      <c r="C57" s="4" t="s">
        <v>107</v>
      </c>
      <c r="D57" s="4" t="s">
        <v>202</v>
      </c>
      <c r="E57" s="4" t="s">
        <v>101</v>
      </c>
      <c r="F57" s="4" t="s">
        <v>102</v>
      </c>
      <c r="G57" s="4" t="s">
        <v>316</v>
      </c>
      <c r="H57" s="6" t="n">
        <v>5</v>
      </c>
      <c r="I57" s="19" t="n">
        <v>63887</v>
      </c>
      <c r="J57" s="9" t="n">
        <v>0.243784260000418</v>
      </c>
      <c r="K57" s="9" t="n">
        <v>0.238744328537635</v>
      </c>
      <c r="L57" s="9" t="n">
        <v>0.398891793322585</v>
      </c>
      <c r="M57" s="6" t="n">
        <v>5</v>
      </c>
      <c r="N57" s="19" t="n">
        <v>26914</v>
      </c>
      <c r="O57" s="9" t="n">
        <v>0.421275063784495</v>
      </c>
      <c r="P57" s="6" t="n">
        <v>5</v>
      </c>
      <c r="Q57" s="6" t="n">
        <v>5</v>
      </c>
      <c r="R57" s="9" t="n">
        <v>0.240290879473674</v>
      </c>
      <c r="S57" s="9" t="n">
        <v>0.284480637701127</v>
      </c>
      <c r="T57" s="19" t="n">
        <v>48958</v>
      </c>
      <c r="U57" s="20" t="n">
        <v>1.41032436480959</v>
      </c>
      <c r="V57" s="21" t="n">
        <v>7.93894080996885</v>
      </c>
      <c r="W57" s="9" t="n">
        <v>0.147281323877069</v>
      </c>
      <c r="X57" s="9" t="n">
        <v>0.118459154444566</v>
      </c>
      <c r="Y57" s="21" t="n">
        <v>44.0111662531017</v>
      </c>
      <c r="Z57" s="21" t="n">
        <v>33.6369426751592</v>
      </c>
      <c r="AA57" s="22" t="n">
        <f aca="false">IF(AND(ISNUMBER(Y57),ISNUMBER(Z57),Y57&gt;0,Z57&gt;0),Y57/Z57,"")</f>
        <v>1.30841755382257</v>
      </c>
      <c r="AB57" s="21" t="n">
        <v>32.8883654807924</v>
      </c>
      <c r="AC57" s="9" t="n">
        <v>0.0233675253829007</v>
      </c>
      <c r="AD57" s="9" t="n">
        <v>0.658997784964077</v>
      </c>
      <c r="AE57" s="4" t="s">
        <v>317</v>
      </c>
    </row>
    <row r="58" customFormat="false" ht="15" hidden="false" customHeight="false" outlineLevel="0" collapsed="false">
      <c r="A58" s="4" t="s">
        <v>318</v>
      </c>
      <c r="B58" s="4" t="s">
        <v>319</v>
      </c>
      <c r="C58" s="4" t="s">
        <v>148</v>
      </c>
      <c r="D58" s="4" t="s">
        <v>194</v>
      </c>
      <c r="E58" s="4" t="s">
        <v>101</v>
      </c>
      <c r="F58" s="4" t="s">
        <v>102</v>
      </c>
      <c r="G58" s="4" t="s">
        <v>103</v>
      </c>
      <c r="H58" s="6" t="n">
        <v>5</v>
      </c>
      <c r="I58" s="19" t="n">
        <v>48195</v>
      </c>
      <c r="J58" s="9" t="n">
        <v>0.0144917765631905</v>
      </c>
      <c r="K58" s="9" t="n">
        <v>-0.00217391304347825</v>
      </c>
      <c r="L58" s="9" t="n">
        <v>0.284759829857869</v>
      </c>
      <c r="M58" s="6" t="n">
        <v>4</v>
      </c>
      <c r="N58" s="19" t="n">
        <v>12845</v>
      </c>
      <c r="O58" s="9" t="n">
        <v>0.266521423384169</v>
      </c>
      <c r="P58" s="6" t="n">
        <v>5</v>
      </c>
      <c r="Q58" s="6" t="n">
        <v>5</v>
      </c>
      <c r="R58" s="9" t="n">
        <v>0.197226951902787</v>
      </c>
      <c r="S58" s="9" t="n">
        <v>0.381173673403221</v>
      </c>
      <c r="T58" s="19" t="n">
        <v>36466</v>
      </c>
      <c r="U58" s="20" t="n">
        <v>2.39435325016415</v>
      </c>
      <c r="V58" s="21" t="n">
        <v>7.25753569539926</v>
      </c>
      <c r="W58" s="9" t="n">
        <v>-0.048928238583411</v>
      </c>
      <c r="X58" s="9" t="n">
        <v>0.0114742193173566</v>
      </c>
      <c r="Y58" s="21" t="n">
        <v>12.5033039647577</v>
      </c>
      <c r="Z58" s="21" t="n">
        <v>17.6916230846867</v>
      </c>
      <c r="AA58" s="22" t="n">
        <f aca="false">IF(AND(ISNUMBER(Y58),ISNUMBER(Z58),Y58&gt;0,Z58&gt;0),Y58/Z58,"")</f>
        <v>0.706735832258386</v>
      </c>
      <c r="AB58" s="21" t="n">
        <v>8.8827266911275</v>
      </c>
      <c r="AC58" s="9" t="n">
        <v>0.0995008155085013</v>
      </c>
      <c r="AD58" s="9" t="n">
        <v>0.0327741328976035</v>
      </c>
      <c r="AE58" s="4" t="s">
        <v>320</v>
      </c>
    </row>
    <row r="59" customFormat="false" ht="15" hidden="false" customHeight="false" outlineLevel="0" collapsed="false">
      <c r="A59" s="4" t="s">
        <v>321</v>
      </c>
      <c r="B59" s="4" t="s">
        <v>322</v>
      </c>
      <c r="C59" s="4" t="s">
        <v>135</v>
      </c>
      <c r="D59" s="4" t="s">
        <v>323</v>
      </c>
      <c r="E59" s="4" t="s">
        <v>101</v>
      </c>
      <c r="F59" s="4" t="s">
        <v>137</v>
      </c>
      <c r="G59" s="4" t="s">
        <v>103</v>
      </c>
      <c r="H59" s="6" t="n">
        <v>5</v>
      </c>
      <c r="I59" s="19" t="n">
        <v>13828.896</v>
      </c>
      <c r="J59" s="9" t="n">
        <v>0.228984836977522</v>
      </c>
      <c r="K59" s="9" t="n">
        <v>0.215809635607797</v>
      </c>
      <c r="L59" s="9" t="n">
        <v>0.5190787464162</v>
      </c>
      <c r="M59" s="6" t="n">
        <v>5</v>
      </c>
      <c r="N59" s="19" t="n">
        <v>1744.898</v>
      </c>
      <c r="O59" s="9" t="n">
        <v>0.12617767897018</v>
      </c>
      <c r="P59" s="6" t="n">
        <v>5</v>
      </c>
      <c r="Q59" s="6" t="n">
        <v>5</v>
      </c>
      <c r="R59" s="9" t="n">
        <v>1.36699375743109</v>
      </c>
      <c r="S59" s="9" t="n">
        <v>0.137982279925408</v>
      </c>
      <c r="T59" s="19" t="n">
        <v>10674.924</v>
      </c>
      <c r="U59" s="20" t="n">
        <v>1.47968765962201</v>
      </c>
      <c r="V59" s="21" t="n">
        <v>14.1217554503712</v>
      </c>
      <c r="W59" s="9" t="n">
        <v>0.0539604712241606</v>
      </c>
      <c r="X59" s="9" t="n">
        <v>0.140913562442006</v>
      </c>
      <c r="Y59" s="21" t="n">
        <v>25.54</v>
      </c>
      <c r="Z59" s="21" t="n">
        <v>39.7268041237113</v>
      </c>
      <c r="AA59" s="22" t="n">
        <f aca="false">IF(AND(ISNUMBER(Y59),ISNUMBER(Z59),Y59&gt;0,Z59&gt;0),Y59/Z59,"")</f>
        <v>0.642890878422214</v>
      </c>
      <c r="AB59" s="21" t="n">
        <v>17.9169016050094</v>
      </c>
      <c r="AC59" s="9" t="n">
        <v>0.0318026236199461</v>
      </c>
      <c r="AD59" s="9" t="n">
        <v>0.0446138624514929</v>
      </c>
      <c r="AE59" s="4" t="s">
        <v>324</v>
      </c>
    </row>
    <row r="60" customFormat="false" ht="15" hidden="false" customHeight="false" outlineLevel="0" collapsed="false">
      <c r="A60" s="4" t="s">
        <v>325</v>
      </c>
      <c r="B60" s="4" t="s">
        <v>326</v>
      </c>
      <c r="C60" s="4" t="s">
        <v>135</v>
      </c>
      <c r="D60" s="4" t="s">
        <v>293</v>
      </c>
      <c r="E60" s="4" t="s">
        <v>101</v>
      </c>
      <c r="F60" s="4" t="s">
        <v>137</v>
      </c>
      <c r="G60" s="4" t="s">
        <v>103</v>
      </c>
      <c r="H60" s="6" t="n">
        <v>5</v>
      </c>
      <c r="I60" s="19" t="n">
        <v>168285</v>
      </c>
      <c r="J60" s="9" t="n">
        <v>0.188585249281134</v>
      </c>
      <c r="K60" s="9" t="n">
        <v>-0.0141880532139865</v>
      </c>
      <c r="L60" s="9" t="n">
        <v>0.117823929643165</v>
      </c>
      <c r="M60" s="6" t="n">
        <v>5</v>
      </c>
      <c r="N60" s="19" t="n">
        <v>-74152</v>
      </c>
      <c r="O60" s="9" t="n">
        <v>-0.440633449208189</v>
      </c>
      <c r="P60" s="6" t="n">
        <v>2</v>
      </c>
      <c r="Q60" s="6" t="n">
        <v>2</v>
      </c>
      <c r="R60" s="9" t="n">
        <v>0.0616251219588959</v>
      </c>
      <c r="S60" s="9" t="n">
        <v>0.0669061181730598</v>
      </c>
      <c r="T60" s="19" t="n">
        <v>40362</v>
      </c>
      <c r="U60" s="20" t="n">
        <v>1.6677823230445</v>
      </c>
      <c r="V60" s="21" t="n">
        <v>0.238684514637905</v>
      </c>
      <c r="W60" s="9" t="n">
        <v>-0.0517741689151352</v>
      </c>
      <c r="X60" s="9" t="n">
        <v>0</v>
      </c>
      <c r="Y60" s="21" t="n">
        <v>13.9904559915164</v>
      </c>
      <c r="Z60" s="21" t="n">
        <v>11.6733001658375</v>
      </c>
      <c r="AA60" s="22" t="n">
        <f aca="false">IF(AND(ISNUMBER(Y60),ISNUMBER(Z60),Y60&gt;0,Z60&gt;0),Y60/Z60,"")</f>
        <v>1.19850049195687</v>
      </c>
      <c r="AB60" s="21" t="n">
        <v>23.0754607398527</v>
      </c>
      <c r="AC60" s="9" t="n">
        <v>-0.108336832740619</v>
      </c>
      <c r="AD60" s="9" t="n">
        <v>-0.429716442178447</v>
      </c>
      <c r="AE60" s="4" t="s">
        <v>327</v>
      </c>
    </row>
    <row r="61" customFormat="false" ht="15" hidden="false" customHeight="false" outlineLevel="0" collapsed="false">
      <c r="A61" s="4" t="s">
        <v>328</v>
      </c>
      <c r="B61" s="4" t="s">
        <v>329</v>
      </c>
      <c r="C61" s="4" t="s">
        <v>330</v>
      </c>
      <c r="D61" s="4" t="s">
        <v>331</v>
      </c>
      <c r="E61" s="4" t="s">
        <v>101</v>
      </c>
      <c r="F61" s="4" t="s">
        <v>102</v>
      </c>
      <c r="G61" s="4" t="s">
        <v>103</v>
      </c>
      <c r="H61" s="6" t="n">
        <v>5</v>
      </c>
      <c r="I61" s="19" t="n">
        <v>58944</v>
      </c>
      <c r="J61" s="9" t="n">
        <v>-0.0910617473935963</v>
      </c>
      <c r="K61" s="9" t="n">
        <v>0.0767010685907388</v>
      </c>
      <c r="L61" s="9" t="n">
        <v>0.192419923995657</v>
      </c>
      <c r="M61" s="6" t="n">
        <v>5</v>
      </c>
      <c r="N61" s="19" t="n">
        <v>7243</v>
      </c>
      <c r="O61" s="9" t="n">
        <v>0.12287934310532</v>
      </c>
      <c r="P61" s="6" t="n">
        <v>5</v>
      </c>
      <c r="Q61" s="6" t="n">
        <v>5</v>
      </c>
      <c r="R61" s="9" t="n">
        <v>0.110687831995059</v>
      </c>
      <c r="S61" s="9" t="n">
        <v>0.123869927272163</v>
      </c>
      <c r="T61" s="19" t="n">
        <v>16463</v>
      </c>
      <c r="U61" s="20" t="n">
        <v>0.648430422623971</v>
      </c>
      <c r="V61" s="21" t="n">
        <v>9.19870235198702</v>
      </c>
      <c r="W61" s="9" t="n">
        <v>-0.019337909171209</v>
      </c>
      <c r="X61" s="9" t="n">
        <v>0</v>
      </c>
      <c r="Y61" s="21" t="n">
        <v>18.4728835978836</v>
      </c>
      <c r="Z61" s="21" t="n">
        <v>12.6815856777494</v>
      </c>
      <c r="AA61" s="22" t="n">
        <f aca="false">IF(AND(ISNUMBER(Y61),ISNUMBER(Z61),Y61&gt;0,Z61&gt;0),Y61/Z61,"")</f>
        <v>1.456669857169</v>
      </c>
      <c r="AB61" s="21" t="n">
        <v>6.74928639371876</v>
      </c>
      <c r="AC61" s="9" t="n">
        <v>0.0593379432010325</v>
      </c>
      <c r="AD61" s="9" t="n">
        <v>0.230445339203312</v>
      </c>
      <c r="AE61" s="4" t="s">
        <v>332</v>
      </c>
    </row>
    <row r="62" customFormat="false" ht="15" hidden="false" customHeight="false" outlineLevel="0" collapsed="false">
      <c r="A62" s="4" t="s">
        <v>333</v>
      </c>
      <c r="B62" s="4" t="s">
        <v>334</v>
      </c>
      <c r="C62" s="4" t="s">
        <v>99</v>
      </c>
      <c r="D62" s="4" t="s">
        <v>335</v>
      </c>
      <c r="E62" s="4" t="s">
        <v>101</v>
      </c>
      <c r="F62" s="4" t="s">
        <v>102</v>
      </c>
      <c r="G62" s="4" t="s">
        <v>336</v>
      </c>
      <c r="H62" s="6" t="n">
        <v>5</v>
      </c>
      <c r="I62" s="19" t="n">
        <v>303154</v>
      </c>
      <c r="J62" s="9" t="n">
        <v>0.077562835315093</v>
      </c>
      <c r="K62" s="9" t="n">
        <v>0.101436953875779</v>
      </c>
      <c r="L62" s="9" t="n">
        <v>0.038544766026508</v>
      </c>
      <c r="M62" s="6" t="n">
        <v>5</v>
      </c>
      <c r="N62" s="19" t="n">
        <v>9390</v>
      </c>
      <c r="O62" s="9" t="n">
        <v>0.0309743562677715</v>
      </c>
      <c r="P62" s="6" t="n">
        <v>5</v>
      </c>
      <c r="Q62" s="6" t="n">
        <v>5</v>
      </c>
      <c r="R62" s="9" t="n">
        <v>0.39999783343444</v>
      </c>
      <c r="S62" s="9" t="n">
        <v>0.257687903248331</v>
      </c>
      <c r="T62" s="19" t="n">
        <v>-12725</v>
      </c>
      <c r="U62" s="20" t="n">
        <v>-0.886203774636117</v>
      </c>
      <c r="V62" s="21" t="n">
        <v>80.5862068965517</v>
      </c>
      <c r="W62" s="9" t="n">
        <v>-5.62490437662211E-005</v>
      </c>
      <c r="X62" s="9" t="n">
        <v>0.00304795582443247</v>
      </c>
      <c r="Y62" s="21" t="n">
        <v>46.1669874879692</v>
      </c>
      <c r="Z62" s="21" t="n">
        <v>45.4230028873917</v>
      </c>
      <c r="AA62" s="22" t="n">
        <f aca="false">IF(AND(ISNUMBER(Y62),ISNUMBER(Z62),Y62&gt;0,Z62&gt;0),Y62/Z62,"")</f>
        <v>1.01637902721715</v>
      </c>
      <c r="AB62" s="21" t="n">
        <v>28.8223756361864</v>
      </c>
      <c r="AC62" s="9" t="n">
        <v>0.0220685963922787</v>
      </c>
      <c r="AD62" s="9" t="n">
        <v>0.0852914180053701</v>
      </c>
      <c r="AE62" s="4" t="s">
        <v>337</v>
      </c>
    </row>
    <row r="63" customFormat="false" ht="15" hidden="false" customHeight="false" outlineLevel="0" collapsed="false">
      <c r="A63" s="4" t="s">
        <v>338</v>
      </c>
      <c r="B63" s="4" t="s">
        <v>339</v>
      </c>
      <c r="C63" s="4" t="s">
        <v>107</v>
      </c>
      <c r="D63" s="4" t="s">
        <v>297</v>
      </c>
      <c r="E63" s="4" t="s">
        <v>101</v>
      </c>
      <c r="F63" s="4" t="s">
        <v>102</v>
      </c>
      <c r="G63" s="4" t="s">
        <v>340</v>
      </c>
      <c r="H63" s="6" t="n">
        <v>5</v>
      </c>
      <c r="I63" s="19" t="n">
        <v>113538</v>
      </c>
      <c r="J63" s="9" t="n">
        <v>0.0353498388848534</v>
      </c>
      <c r="K63" s="9" t="n">
        <v>0.188046082852868</v>
      </c>
      <c r="L63" s="9" t="n">
        <v>0.0743891912839754</v>
      </c>
      <c r="M63" s="6" t="n">
        <v>5</v>
      </c>
      <c r="N63" s="19" t="n">
        <v>8552</v>
      </c>
      <c r="O63" s="9" t="n">
        <v>0.0753227994151738</v>
      </c>
      <c r="P63" s="6" t="n">
        <v>5</v>
      </c>
      <c r="Q63" s="6" t="n">
        <v>5</v>
      </c>
      <c r="R63" s="9" t="n">
        <v>0.381167666381034</v>
      </c>
      <c r="S63" s="9"/>
      <c r="T63" s="19" t="n">
        <v>19975</v>
      </c>
      <c r="U63" s="20" t="n">
        <v>1.68536955788053</v>
      </c>
      <c r="V63" s="21" t="n">
        <v>5.41410256410256</v>
      </c>
      <c r="W63" s="9" t="n">
        <v>-0.091804780876494</v>
      </c>
      <c r="X63" s="9" t="n">
        <v>0.00636791206468319</v>
      </c>
      <c r="Y63" s="21" t="n">
        <v>32.4556889651229</v>
      </c>
      <c r="Z63" s="21" t="n">
        <v>12.7723214285714</v>
      </c>
      <c r="AA63" s="22" t="n">
        <f aca="false">IF(AND(ISNUMBER(Y63),ISNUMBER(Z63),Y63&gt;0,Z63&gt;0),Y63/Z63,"")</f>
        <v>2.54109553589218</v>
      </c>
      <c r="AB63" s="21" t="n">
        <v>22.0453189477146</v>
      </c>
      <c r="AC63" s="9" t="n">
        <v>0.0223665232659804</v>
      </c>
      <c r="AD63" s="9" t="n">
        <v>0.713819740571439</v>
      </c>
      <c r="AE63" s="4" t="s">
        <v>341</v>
      </c>
    </row>
    <row r="64" customFormat="false" ht="15" hidden="false" customHeight="false" outlineLevel="0" collapsed="false">
      <c r="A64" s="4" t="s">
        <v>342</v>
      </c>
      <c r="B64" s="4" t="s">
        <v>343</v>
      </c>
      <c r="C64" s="4" t="s">
        <v>99</v>
      </c>
      <c r="D64" s="4" t="s">
        <v>244</v>
      </c>
      <c r="E64" s="4" t="s">
        <v>101</v>
      </c>
      <c r="F64" s="4" t="s">
        <v>102</v>
      </c>
      <c r="G64" s="4" t="s">
        <v>298</v>
      </c>
      <c r="H64" s="6" t="n">
        <v>5</v>
      </c>
      <c r="I64" s="19" t="n">
        <v>94425</v>
      </c>
      <c r="J64" s="9" t="n">
        <v>0.0450939232231049</v>
      </c>
      <c r="K64" s="9" t="n">
        <v>0.0335372861505456</v>
      </c>
      <c r="L64" s="9" t="n">
        <v>0.146486629600212</v>
      </c>
      <c r="M64" s="6" t="n">
        <v>5</v>
      </c>
      <c r="N64" s="19" t="n">
        <v>10077</v>
      </c>
      <c r="O64" s="9" t="n">
        <v>0.106719618745036</v>
      </c>
      <c r="P64" s="6" t="n">
        <v>5</v>
      </c>
      <c r="Q64" s="6" t="n">
        <v>5</v>
      </c>
      <c r="R64" s="9" t="n">
        <v>0.0708000518336141</v>
      </c>
      <c r="S64" s="9" t="n">
        <v>0.108226014727952</v>
      </c>
      <c r="T64" s="19" t="n">
        <v>39728</v>
      </c>
      <c r="U64" s="20" t="n">
        <v>2.07554464239068</v>
      </c>
      <c r="V64" s="21" t="n">
        <v>7.63355408388521</v>
      </c>
      <c r="W64" s="9" t="n">
        <v>-0.00875752599890534</v>
      </c>
      <c r="X64" s="9" t="n">
        <v>0.0144347365634101</v>
      </c>
      <c r="Y64" s="21" t="n">
        <v>22.4732510288066</v>
      </c>
      <c r="Z64" s="21" t="n">
        <v>54.5260115606936</v>
      </c>
      <c r="AA64" s="22" t="n">
        <f aca="false">IF(AND(ISNUMBER(Y64),ISNUMBER(Z64),Y64&gt;0,Z64&gt;0),Y64/Z64,"")</f>
        <v>0.412156517331023</v>
      </c>
      <c r="AB64" s="21" t="n">
        <v>9.92498158098683</v>
      </c>
      <c r="AC64" s="9" t="n">
        <v>0.0437252402663463</v>
      </c>
      <c r="AD64" s="9" t="n">
        <v>0.125899708212867</v>
      </c>
      <c r="AE64" s="4" t="s">
        <v>344</v>
      </c>
    </row>
    <row r="65" customFormat="false" ht="15" hidden="false" customHeight="false" outlineLevel="0" collapsed="false">
      <c r="A65" s="4" t="s">
        <v>345</v>
      </c>
      <c r="B65" s="4" t="s">
        <v>346</v>
      </c>
      <c r="C65" s="4" t="s">
        <v>347</v>
      </c>
      <c r="D65" s="4" t="s">
        <v>348</v>
      </c>
      <c r="E65" s="4" t="s">
        <v>101</v>
      </c>
      <c r="F65" s="4" t="s">
        <v>349</v>
      </c>
      <c r="G65" s="4" t="s">
        <v>103</v>
      </c>
      <c r="H65" s="6" t="n">
        <v>5</v>
      </c>
      <c r="I65" s="19" t="n">
        <v>32237</v>
      </c>
      <c r="J65" s="9" t="n">
        <v>0.0386797140947133</v>
      </c>
      <c r="K65" s="9" t="n">
        <v>0.0619297031986033</v>
      </c>
      <c r="L65" s="9" t="n">
        <v>0.266060737661693</v>
      </c>
      <c r="M65" s="6" t="n">
        <v>5</v>
      </c>
      <c r="N65" s="19" t="n">
        <v>-1672</v>
      </c>
      <c r="O65" s="9" t="n">
        <v>-0.0518658684120731</v>
      </c>
      <c r="P65" s="6" t="n">
        <v>1</v>
      </c>
      <c r="Q65" s="6" t="n">
        <v>5</v>
      </c>
      <c r="R65" s="9" t="n">
        <v>0.0471713205655688</v>
      </c>
      <c r="S65" s="9" t="n">
        <v>0.0937022576812086</v>
      </c>
      <c r="T65" s="19" t="n">
        <v>90624</v>
      </c>
      <c r="U65" s="20" t="n">
        <v>5.7832801531589</v>
      </c>
      <c r="V65" s="21" t="n">
        <v>2.36020913593836</v>
      </c>
      <c r="W65" s="9" t="n">
        <v>0.00909090909090904</v>
      </c>
      <c r="X65" s="9" t="n">
        <v>0</v>
      </c>
      <c r="Y65" s="21" t="n">
        <v>17.6231231231231</v>
      </c>
      <c r="Z65" s="21" t="n">
        <v>18.8686514886165</v>
      </c>
      <c r="AA65" s="22" t="n">
        <f aca="false">IF(AND(ISNUMBER(Y65),ISNUMBER(Z65),Y65&gt;0,Z65&gt;0),Y65/Z65,"")</f>
        <v>0.933989539939048</v>
      </c>
      <c r="AB65" s="21" t="n">
        <v>10.4055656695434</v>
      </c>
      <c r="AC65" s="9" t="n">
        <v>-0.0467097788497521</v>
      </c>
      <c r="AD65" s="9" t="n">
        <v>0.0427428827124112</v>
      </c>
      <c r="AE65" s="4" t="s">
        <v>350</v>
      </c>
    </row>
    <row r="66" customFormat="false" ht="15" hidden="false" customHeight="false" outlineLevel="0" collapsed="false">
      <c r="A66" s="4" t="s">
        <v>351</v>
      </c>
      <c r="B66" s="4" t="s">
        <v>352</v>
      </c>
      <c r="C66" s="4" t="s">
        <v>148</v>
      </c>
      <c r="D66" s="4" t="s">
        <v>289</v>
      </c>
      <c r="E66" s="4" t="s">
        <v>101</v>
      </c>
      <c r="F66" s="4" t="s">
        <v>102</v>
      </c>
      <c r="G66" s="4" t="s">
        <v>103</v>
      </c>
      <c r="H66" s="6" t="n">
        <v>5</v>
      </c>
      <c r="I66" s="19" t="n">
        <v>29442</v>
      </c>
      <c r="J66" s="9" t="n">
        <v>0.0257361798626141</v>
      </c>
      <c r="K66" s="9" t="n">
        <v>0.0239271057939765</v>
      </c>
      <c r="L66" s="9" t="n">
        <v>0.397425446640853</v>
      </c>
      <c r="M66" s="6" t="n">
        <v>5</v>
      </c>
      <c r="N66" s="19" t="n">
        <v>9456</v>
      </c>
      <c r="O66" s="9" t="n">
        <v>0.321173833299368</v>
      </c>
      <c r="P66" s="6" t="n">
        <v>5</v>
      </c>
      <c r="Q66" s="6" t="n">
        <v>5</v>
      </c>
      <c r="R66" s="9" t="n">
        <v>0.24363590838407</v>
      </c>
      <c r="S66" s="9" t="n">
        <v>0.376249005217084</v>
      </c>
      <c r="T66" s="19" t="n">
        <v>15323</v>
      </c>
      <c r="U66" s="20" t="n">
        <v>1.12835051546392</v>
      </c>
      <c r="V66" s="21" t="n">
        <v>11.4267578125</v>
      </c>
      <c r="W66" s="9" t="n">
        <v>-0.00554675118858949</v>
      </c>
      <c r="X66" s="9" t="n">
        <v>0.030364785001019</v>
      </c>
      <c r="Y66" s="21" t="n">
        <v>-57.0653846153846</v>
      </c>
      <c r="Z66" s="21" t="n">
        <v>17.9444444444444</v>
      </c>
      <c r="AA66" s="22" t="str">
        <f aca="false">IF(AND(ISNUMBER(Y66),ISNUMBER(Z66),Y66&gt;0,Z66&gt;0),Y66/Z66,"")</f>
        <v/>
      </c>
      <c r="AB66" s="21" t="n">
        <v>155.20175888081</v>
      </c>
      <c r="AC66" s="9" t="n">
        <v>0.0717445562389898</v>
      </c>
      <c r="AD66" s="9" t="n">
        <v>0.0435199458596562</v>
      </c>
      <c r="AE66" s="4" t="s">
        <v>353</v>
      </c>
    </row>
    <row r="67" customFormat="false" ht="15" hidden="false" customHeight="false" outlineLevel="0" collapsed="false">
      <c r="A67" s="4" t="s">
        <v>354</v>
      </c>
      <c r="B67" s="4" t="s">
        <v>355</v>
      </c>
      <c r="C67" s="4" t="s">
        <v>99</v>
      </c>
      <c r="D67" s="4" t="s">
        <v>356</v>
      </c>
      <c r="E67" s="4" t="s">
        <v>101</v>
      </c>
      <c r="F67" s="4" t="s">
        <v>102</v>
      </c>
      <c r="G67" s="4" t="s">
        <v>357</v>
      </c>
      <c r="H67" s="6" t="n">
        <v>5</v>
      </c>
      <c r="I67" s="19" t="n">
        <v>164683</v>
      </c>
      <c r="J67" s="9" t="n">
        <v>0.0151851464155888</v>
      </c>
      <c r="K67" s="9" t="n">
        <v>0.0324046792131099</v>
      </c>
      <c r="L67" s="9" t="n">
        <v>0.126849765913907</v>
      </c>
      <c r="M67" s="6" t="n">
        <v>5</v>
      </c>
      <c r="N67" s="19" t="n">
        <v>12646</v>
      </c>
      <c r="O67" s="9" t="n">
        <v>0.0767899540328996</v>
      </c>
      <c r="P67" s="6" t="n">
        <v>5</v>
      </c>
      <c r="Q67" s="6" t="n">
        <v>5</v>
      </c>
      <c r="R67" s="9" t="n">
        <v>0.214956886445932</v>
      </c>
      <c r="S67" s="9" t="n">
        <v>1.1048154218372</v>
      </c>
      <c r="T67" s="19" t="n">
        <v>63961</v>
      </c>
      <c r="U67" s="20" t="n">
        <v>2.54469862741198</v>
      </c>
      <c r="V67" s="21" t="n">
        <v>8.66086235489221</v>
      </c>
      <c r="W67" s="9" t="n">
        <v>-0.0273170731707317</v>
      </c>
      <c r="X67" s="9" t="n">
        <v>0.0031697260798018</v>
      </c>
      <c r="Y67" s="21" t="n">
        <v>20.2946927374302</v>
      </c>
      <c r="Z67" s="21" t="n">
        <v>23.5394483643361</v>
      </c>
      <c r="AA67" s="22" t="n">
        <f aca="false">IF(AND(ISNUMBER(Y67),ISNUMBER(Z67),Y67&gt;0,Z67&gt;0),Y67/Z67,"")</f>
        <v>0.862156683679046</v>
      </c>
      <c r="AB67" s="21" t="n">
        <v>13.7498682005182</v>
      </c>
      <c r="AC67" s="9" t="n">
        <v>0.0521115616981662</v>
      </c>
      <c r="AD67" s="9" t="n">
        <v>0.0418101318836797</v>
      </c>
      <c r="AE67" s="4" t="s">
        <v>358</v>
      </c>
    </row>
    <row r="68" customFormat="false" ht="15" hidden="false" customHeight="false" outlineLevel="0" collapsed="false">
      <c r="A68" s="4" t="s">
        <v>359</v>
      </c>
      <c r="B68" s="4" t="s">
        <v>360</v>
      </c>
      <c r="C68" s="4" t="s">
        <v>135</v>
      </c>
      <c r="D68" s="4" t="s">
        <v>161</v>
      </c>
      <c r="E68" s="4" t="s">
        <v>101</v>
      </c>
      <c r="F68" s="4" t="s">
        <v>137</v>
      </c>
      <c r="G68" s="4" t="s">
        <v>103</v>
      </c>
      <c r="H68" s="6" t="n">
        <v>5</v>
      </c>
      <c r="I68" s="19" t="n">
        <v>4473</v>
      </c>
      <c r="J68" s="9" t="n">
        <v>0.487874758367377</v>
      </c>
      <c r="K68" s="9" t="n">
        <v>0.515757370382921</v>
      </c>
      <c r="L68" s="9" t="n">
        <v>0.468142186452046</v>
      </c>
      <c r="M68" s="6" t="n">
        <v>2</v>
      </c>
      <c r="N68" s="19" t="n">
        <v>1584</v>
      </c>
      <c r="O68" s="9" t="n">
        <v>0.354124748490946</v>
      </c>
      <c r="P68" s="6" t="n">
        <v>2</v>
      </c>
      <c r="Q68" s="6" t="n">
        <v>2</v>
      </c>
      <c r="R68" s="9" t="n">
        <v>0.160203370133643</v>
      </c>
      <c r="S68" s="9" t="n">
        <v>0.205769861217353</v>
      </c>
      <c r="T68" s="19" t="n">
        <v>1175</v>
      </c>
      <c r="U68" s="20" t="n">
        <v>0.538990825688073</v>
      </c>
      <c r="V68" s="21" t="n">
        <v>999</v>
      </c>
      <c r="W68" s="9" t="n">
        <v>0.0456982130171322</v>
      </c>
      <c r="X68" s="9" t="n">
        <v>0.0681868991728147</v>
      </c>
      <c r="Y68" s="21" t="n">
        <v>47.9675324675325</v>
      </c>
      <c r="Z68" s="21" t="n">
        <v>38.3182783018868</v>
      </c>
      <c r="AA68" s="22" t="n">
        <f aca="false">IF(AND(ISNUMBER(Y68),ISNUMBER(Z68),Y68&gt;0,Z68&gt;0),Y68/Z68,"")</f>
        <v>1.25181857310041</v>
      </c>
      <c r="AB68" s="21" t="n">
        <v>49.5412180914867</v>
      </c>
      <c r="AC68" s="9" t="n">
        <v>0.00178673929628389</v>
      </c>
      <c r="AD68" s="9" t="n">
        <v>0.189632482673821</v>
      </c>
      <c r="AE68" s="4" t="s">
        <v>361</v>
      </c>
    </row>
    <row r="69" customFormat="false" ht="15" hidden="false" customHeight="false" outlineLevel="0" collapsed="false">
      <c r="A69" s="4" t="s">
        <v>362</v>
      </c>
      <c r="B69" s="4" t="s">
        <v>363</v>
      </c>
      <c r="C69" s="4" t="s">
        <v>107</v>
      </c>
      <c r="D69" s="4" t="s">
        <v>169</v>
      </c>
      <c r="E69" s="4" t="s">
        <v>101</v>
      </c>
      <c r="F69" s="4" t="s">
        <v>102</v>
      </c>
      <c r="G69" s="4" t="s">
        <v>103</v>
      </c>
      <c r="H69" s="6" t="n">
        <v>5</v>
      </c>
      <c r="I69" s="19" t="n">
        <v>67536</v>
      </c>
      <c r="J69" s="9" t="n">
        <v>0.037181799059284</v>
      </c>
      <c r="K69" s="9" t="n">
        <v>0.0762194636113014</v>
      </c>
      <c r="L69" s="9" t="n">
        <v>0.184968017057569</v>
      </c>
      <c r="M69" s="6" t="n">
        <v>5</v>
      </c>
      <c r="N69" s="19" t="n">
        <v>12102</v>
      </c>
      <c r="O69" s="9" t="n">
        <v>0.179193319118692</v>
      </c>
      <c r="P69" s="6" t="n">
        <v>5</v>
      </c>
      <c r="Q69" s="6" t="n">
        <v>5</v>
      </c>
      <c r="R69" s="9" t="n">
        <v>0.115525847536992</v>
      </c>
      <c r="S69" s="9" t="n">
        <v>0.323539293240891</v>
      </c>
      <c r="T69" s="19" t="n">
        <v>52683</v>
      </c>
      <c r="U69" s="20" t="n">
        <v>3.04807914834529</v>
      </c>
      <c r="V69" s="21" t="n">
        <v>6.45581395348837</v>
      </c>
      <c r="W69" s="9" t="n">
        <v>0.0399344930059007</v>
      </c>
      <c r="X69" s="9" t="n">
        <v>0.025393864013267</v>
      </c>
      <c r="Y69" s="21" t="n">
        <v>20.0951965065502</v>
      </c>
      <c r="Z69" s="21" t="n">
        <v>26.074823943662</v>
      </c>
      <c r="AA69" s="22" t="n">
        <f aca="false">IF(AND(ISNUMBER(Y69),ISNUMBER(Z69),Y69&gt;0,Z69&gt;0),Y69/Z69,"")</f>
        <v>0.770674292948957</v>
      </c>
      <c r="AB69" s="21" t="n">
        <v>15.4799806875356</v>
      </c>
      <c r="AC69" s="9" t="n">
        <v>0.0637310276487412</v>
      </c>
      <c r="AD69" s="9" t="n">
        <v>0.0419754184583037</v>
      </c>
      <c r="AE69" s="4" t="s">
        <v>364</v>
      </c>
    </row>
    <row r="70" customFormat="false" ht="15" hidden="false" customHeight="false" outlineLevel="0" collapsed="false">
      <c r="A70" s="4" t="s">
        <v>365</v>
      </c>
      <c r="B70" s="4" t="s">
        <v>366</v>
      </c>
      <c r="C70" s="4" t="s">
        <v>135</v>
      </c>
      <c r="D70" s="4" t="s">
        <v>161</v>
      </c>
      <c r="E70" s="4" t="s">
        <v>101</v>
      </c>
      <c r="F70" s="4" t="s">
        <v>102</v>
      </c>
      <c r="G70" s="4" t="s">
        <v>103</v>
      </c>
      <c r="H70" s="6" t="n">
        <v>5</v>
      </c>
      <c r="I70" s="19" t="n">
        <v>12638</v>
      </c>
      <c r="J70" s="9" t="n">
        <v>0.0946127939112056</v>
      </c>
      <c r="K70" s="9" t="n">
        <v>0.0745684890740583</v>
      </c>
      <c r="L70" s="9" t="n">
        <v>0.387403070106029</v>
      </c>
      <c r="M70" s="6" t="n">
        <v>5</v>
      </c>
      <c r="N70" s="19" t="n">
        <v>4289</v>
      </c>
      <c r="O70" s="9" t="n">
        <v>0.339373318563064</v>
      </c>
      <c r="P70" s="6" t="n">
        <v>5</v>
      </c>
      <c r="Q70" s="6" t="n">
        <v>5</v>
      </c>
      <c r="R70" s="9" t="n">
        <v>0.084720725456696</v>
      </c>
      <c r="S70" s="9" t="n">
        <v>0.113966403366562</v>
      </c>
      <c r="T70" s="19" t="n">
        <v>16663</v>
      </c>
      <c r="U70" s="20" t="n">
        <v>2.50835465903959</v>
      </c>
      <c r="V70" s="21" t="n">
        <v>6.26888604353393</v>
      </c>
      <c r="W70" s="9" t="n">
        <v>0.018076541889483</v>
      </c>
      <c r="X70" s="9" t="n">
        <v>0.0188320936857098</v>
      </c>
      <c r="Y70" s="21" t="n">
        <v>22.2419127988748</v>
      </c>
      <c r="Z70" s="21" t="n">
        <v>30.5785714285714</v>
      </c>
      <c r="AA70" s="22" t="n">
        <f aca="false">IF(AND(ISNUMBER(Y70),ISNUMBER(Z70),Y70&gt;0,Z70&gt;0),Y70/Z70,"")</f>
        <v>0.727369257613285</v>
      </c>
      <c r="AB70" s="21" t="n">
        <v>16.1623122229356</v>
      </c>
      <c r="AC70" s="9" t="n">
        <v>0.0546075054833981</v>
      </c>
      <c r="AD70" s="9" t="n">
        <v>-0.121724066940972</v>
      </c>
      <c r="AE70" s="4" t="s">
        <v>367</v>
      </c>
    </row>
    <row r="71" customFormat="false" ht="15" hidden="false" customHeight="false" outlineLevel="0" collapsed="false">
      <c r="A71" s="4" t="s">
        <v>368</v>
      </c>
      <c r="B71" s="4" t="s">
        <v>369</v>
      </c>
      <c r="C71" s="4" t="s">
        <v>370</v>
      </c>
      <c r="D71" s="4" t="s">
        <v>371</v>
      </c>
      <c r="E71" s="4" t="s">
        <v>101</v>
      </c>
      <c r="F71" s="4" t="s">
        <v>102</v>
      </c>
      <c r="G71" s="4" t="s">
        <v>103</v>
      </c>
      <c r="H71" s="6" t="n">
        <v>5</v>
      </c>
      <c r="I71" s="19" t="n">
        <v>33986</v>
      </c>
      <c r="J71" s="9" t="n">
        <v>0.00617606060913611</v>
      </c>
      <c r="K71" s="9" t="n">
        <v>0.0297227692773823</v>
      </c>
      <c r="L71" s="9" t="n">
        <v>0.272288589419173</v>
      </c>
      <c r="M71" s="6" t="n">
        <v>5</v>
      </c>
      <c r="N71" s="19" t="n">
        <v>5089</v>
      </c>
      <c r="O71" s="9" t="n">
        <v>0.14973812746425</v>
      </c>
      <c r="P71" s="6" t="n">
        <v>5</v>
      </c>
      <c r="Q71" s="6" t="n">
        <v>5</v>
      </c>
      <c r="R71" s="9" t="n">
        <v>0.118537146933878</v>
      </c>
      <c r="S71" s="9" t="n">
        <v>0.173573890943862</v>
      </c>
      <c r="T71" s="19" t="n">
        <v>21933</v>
      </c>
      <c r="U71" s="20" t="n">
        <v>1.68495044941231</v>
      </c>
      <c r="V71" s="21" t="n">
        <v>19.9439655172414</v>
      </c>
      <c r="W71" s="9" t="n">
        <v>-0.0701058253544376</v>
      </c>
      <c r="X71" s="9" t="n">
        <v>0.00391337609603955</v>
      </c>
      <c r="Y71" s="21" t="n">
        <v>31.4704370179949</v>
      </c>
      <c r="Z71" s="21" t="n">
        <v>32.3393700787402</v>
      </c>
      <c r="AA71" s="22" t="n">
        <f aca="false">IF(AND(ISNUMBER(Y71),ISNUMBER(Z71),Y71&gt;0,Z71&gt;0),Y71/Z71,"")</f>
        <v>0.973130798199544</v>
      </c>
      <c r="AB71" s="21" t="n">
        <v>18.6070646962478</v>
      </c>
      <c r="AC71" s="9" t="n">
        <v>0.0219341664357407</v>
      </c>
      <c r="AD71" s="9" t="n">
        <v>0.068874355558171</v>
      </c>
      <c r="AE71" s="4" t="s">
        <v>372</v>
      </c>
    </row>
    <row r="72" customFormat="false" ht="15" hidden="false" customHeight="false" outlineLevel="0" collapsed="false">
      <c r="A72" s="4" t="s">
        <v>373</v>
      </c>
      <c r="B72" s="4" t="s">
        <v>374</v>
      </c>
      <c r="C72" s="4" t="s">
        <v>99</v>
      </c>
      <c r="D72" s="4" t="s">
        <v>375</v>
      </c>
      <c r="E72" s="4" t="s">
        <v>101</v>
      </c>
      <c r="F72" s="4" t="s">
        <v>102</v>
      </c>
      <c r="G72" s="4" t="s">
        <v>103</v>
      </c>
      <c r="H72" s="6" t="n">
        <v>5</v>
      </c>
      <c r="I72" s="19" t="n">
        <v>26885</v>
      </c>
      <c r="J72" s="9" t="n">
        <v>0.0506378594670431</v>
      </c>
      <c r="K72" s="9" t="n">
        <v>0.037229938271605</v>
      </c>
      <c r="L72" s="9" t="n">
        <v>0.460963362469779</v>
      </c>
      <c r="M72" s="6" t="n">
        <v>5</v>
      </c>
      <c r="N72" s="19" t="n">
        <v>7186</v>
      </c>
      <c r="O72" s="9" t="n">
        <v>0.267286591035894</v>
      </c>
      <c r="P72" s="6" t="n">
        <v>5</v>
      </c>
      <c r="Q72" s="6" t="n">
        <v>5</v>
      </c>
      <c r="R72" s="9" t="n">
        <v>0.187381002507225</v>
      </c>
      <c r="S72" s="9"/>
      <c r="T72" s="19" t="n">
        <v>54040</v>
      </c>
      <c r="U72" s="20" t="n">
        <v>3.68170050415588</v>
      </c>
      <c r="V72" s="21" t="n">
        <v>7.83375474083439</v>
      </c>
      <c r="W72" s="9" t="n">
        <v>-0.0335896398219344</v>
      </c>
      <c r="X72" s="9" t="n">
        <v>0.00613725125534685</v>
      </c>
      <c r="Y72" s="21" t="n">
        <v>19.1393841166937</v>
      </c>
      <c r="Z72" s="21" t="n">
        <v>25.4952708512468</v>
      </c>
      <c r="AA72" s="22" t="n">
        <f aca="false">IF(AND(ISNUMBER(Y72),ISNUMBER(Z72),Y72&gt;0,Z72&gt;0),Y72/Z72,"")</f>
        <v>0.750703306050884</v>
      </c>
      <c r="AB72" s="21" t="n">
        <v>14.697353879013</v>
      </c>
      <c r="AC72" s="9" t="n">
        <v>0.0462494758723471</v>
      </c>
      <c r="AD72" s="9" t="n">
        <v>0.0475130680676958</v>
      </c>
      <c r="AE72" s="4" t="s">
        <v>376</v>
      </c>
    </row>
    <row r="73" customFormat="false" ht="15" hidden="false" customHeight="false" outlineLevel="0" collapsed="false">
      <c r="A73" s="4" t="s">
        <v>377</v>
      </c>
      <c r="B73" s="4" t="s">
        <v>378</v>
      </c>
      <c r="C73" s="4" t="s">
        <v>148</v>
      </c>
      <c r="D73" s="4" t="s">
        <v>149</v>
      </c>
      <c r="E73" s="4" t="s">
        <v>101</v>
      </c>
      <c r="F73" s="4" t="s">
        <v>102</v>
      </c>
      <c r="G73" s="4" t="s">
        <v>379</v>
      </c>
      <c r="H73" s="6" t="n">
        <v>5</v>
      </c>
      <c r="I73" s="19" t="n">
        <v>36364</v>
      </c>
      <c r="J73" s="9" t="n">
        <v>0.0520760364375545</v>
      </c>
      <c r="K73" s="9" t="n">
        <v>0.0842949578077943</v>
      </c>
      <c r="L73" s="9" t="n">
        <v>0.177840721592784</v>
      </c>
      <c r="M73" s="6" t="n">
        <v>5</v>
      </c>
      <c r="N73" s="19" t="n">
        <v>5426</v>
      </c>
      <c r="O73" s="9" t="n">
        <v>0.149213507864921</v>
      </c>
      <c r="P73" s="6" t="n">
        <v>5</v>
      </c>
      <c r="Q73" s="6" t="n">
        <v>5</v>
      </c>
      <c r="R73" s="9" t="n">
        <v>0.0742436748870126</v>
      </c>
      <c r="S73" s="9" t="n">
        <v>0.0958619587793577</v>
      </c>
      <c r="T73" s="19" t="n">
        <v>18741</v>
      </c>
      <c r="U73" s="20" t="n">
        <v>1.91059231318177</v>
      </c>
      <c r="V73" s="21" t="n">
        <v>9.04475524475524</v>
      </c>
      <c r="W73" s="9" t="n">
        <v>-0.0335384153661464</v>
      </c>
      <c r="X73" s="9" t="n">
        <v>0.0125673743262567</v>
      </c>
      <c r="Y73" s="21" t="n">
        <v>22.3960880195599</v>
      </c>
      <c r="Z73" s="21" t="n">
        <v>27.8293333333333</v>
      </c>
      <c r="AA73" s="22" t="n">
        <f aca="false">IF(AND(ISNUMBER(Y73),ISNUMBER(Z73),Y73&gt;0,Z73&gt;0),Y73/Z73,"")</f>
        <v>0.804765523891813</v>
      </c>
      <c r="AB73" s="21" t="n">
        <v>14.1215073204284</v>
      </c>
      <c r="AC73" s="9" t="n">
        <v>0.0522973566978228</v>
      </c>
      <c r="AD73" s="9" t="n">
        <v>0.0737500108898912</v>
      </c>
      <c r="AE73" s="4" t="s">
        <v>380</v>
      </c>
    </row>
    <row r="74" customFormat="false" ht="15" hidden="false" customHeight="false" outlineLevel="0" collapsed="false">
      <c r="A74" s="4" t="s">
        <v>381</v>
      </c>
      <c r="B74" s="4" t="s">
        <v>382</v>
      </c>
      <c r="C74" s="4" t="s">
        <v>206</v>
      </c>
      <c r="D74" s="4" t="s">
        <v>207</v>
      </c>
      <c r="E74" s="4" t="s">
        <v>101</v>
      </c>
      <c r="F74" s="4" t="s">
        <v>102</v>
      </c>
      <c r="G74" s="4" t="s">
        <v>305</v>
      </c>
      <c r="H74" s="6" t="n">
        <v>5</v>
      </c>
      <c r="I74" s="19" t="n">
        <v>93925</v>
      </c>
      <c r="J74" s="9" t="n">
        <v>0.0282590925616892</v>
      </c>
      <c r="K74" s="9" t="n">
        <v>0.0225466501186666</v>
      </c>
      <c r="L74" s="9" t="n">
        <v>0.143635879691243</v>
      </c>
      <c r="M74" s="6" t="n">
        <v>5</v>
      </c>
      <c r="N74" s="19" t="n">
        <v>7672</v>
      </c>
      <c r="O74" s="9" t="n">
        <v>0.0816821932392867</v>
      </c>
      <c r="P74" s="6" t="n">
        <v>5</v>
      </c>
      <c r="Q74" s="6" t="n">
        <v>5</v>
      </c>
      <c r="R74" s="9" t="n">
        <v>0.17495469319413</v>
      </c>
      <c r="S74" s="9" t="n">
        <v>0.40103178079525</v>
      </c>
      <c r="T74" s="19" t="n">
        <v>40371</v>
      </c>
      <c r="U74" s="20" t="n">
        <v>2.59737502412662</v>
      </c>
      <c r="V74" s="21" t="n">
        <v>12.0347903657449</v>
      </c>
      <c r="W74" s="9" t="n">
        <v>-0.0100937274693583</v>
      </c>
      <c r="X74" s="9" t="n">
        <v>0.00306627628426936</v>
      </c>
      <c r="Y74" s="21" t="n">
        <v>15.8946047678796</v>
      </c>
      <c r="Z74" s="21" t="n">
        <v>25.7723823975721</v>
      </c>
      <c r="AA74" s="22" t="n">
        <f aca="false">IF(AND(ISNUMBER(Y74),ISNUMBER(Z74),Y74&gt;0,Z74&gt;0),Y74/Z74,"")</f>
        <v>0.616730130830936</v>
      </c>
      <c r="AB74" s="21" t="n">
        <v>11.2609523809524</v>
      </c>
      <c r="AC74" s="9" t="n">
        <v>0.0605103138561511</v>
      </c>
      <c r="AD74" s="9" t="n">
        <v>0.056967179877562</v>
      </c>
      <c r="AE74" s="4" t="s">
        <v>383</v>
      </c>
    </row>
    <row r="75" customFormat="false" ht="15" hidden="false" customHeight="false" outlineLevel="0" collapsed="false">
      <c r="A75" s="4" t="s">
        <v>384</v>
      </c>
      <c r="B75" s="4" t="s">
        <v>385</v>
      </c>
      <c r="C75" s="4" t="s">
        <v>206</v>
      </c>
      <c r="D75" s="4" t="s">
        <v>386</v>
      </c>
      <c r="E75" s="4" t="s">
        <v>101</v>
      </c>
      <c r="F75" s="4" t="s">
        <v>102</v>
      </c>
      <c r="G75" s="4" t="s">
        <v>115</v>
      </c>
      <c r="H75" s="6" t="n">
        <v>5</v>
      </c>
      <c r="I75" s="19" t="n">
        <v>87032</v>
      </c>
      <c r="J75" s="9" t="n">
        <v>0.0200256940933994</v>
      </c>
      <c r="K75" s="9" t="n">
        <v>0.032604052963789</v>
      </c>
      <c r="L75" s="9" t="n">
        <v>0.226905046419708</v>
      </c>
      <c r="M75" s="6" t="n">
        <v>5</v>
      </c>
      <c r="N75" s="19" t="n">
        <v>15147</v>
      </c>
      <c r="O75" s="9" t="n">
        <v>0.174039433771486</v>
      </c>
      <c r="P75" s="6" t="n">
        <v>5</v>
      </c>
      <c r="Q75" s="6" t="n">
        <v>5</v>
      </c>
      <c r="R75" s="9" t="n">
        <v>0.195929921507064</v>
      </c>
      <c r="S75" s="9" t="n">
        <v>0.2942006930566</v>
      </c>
      <c r="T75" s="19" t="n">
        <v>25084</v>
      </c>
      <c r="U75" s="20" t="n">
        <v>1.02744327025477</v>
      </c>
      <c r="V75" s="21" t="n">
        <v>22.5176738882554</v>
      </c>
      <c r="W75" s="9" t="n">
        <v>-0.0247191915938645</v>
      </c>
      <c r="X75" s="9" t="n">
        <v>0.00602077396819561</v>
      </c>
      <c r="Y75" s="21" t="n">
        <v>22.6177777777778</v>
      </c>
      <c r="Z75" s="21" t="n">
        <v>23.965</v>
      </c>
      <c r="AA75" s="22" t="n">
        <f aca="false">IF(AND(ISNUMBER(Y75),ISNUMBER(Z75),Y75&gt;0,Z75&gt;0),Y75/Z75,"")</f>
        <v>0.94378375872221</v>
      </c>
      <c r="AB75" s="21" t="n">
        <v>15.893032211518</v>
      </c>
      <c r="AC75" s="9" t="n">
        <v>0.0438461033181154</v>
      </c>
      <c r="AD75" s="9" t="n">
        <v>0.0201071765557497</v>
      </c>
      <c r="AE75" s="4" t="s">
        <v>387</v>
      </c>
    </row>
    <row r="76" customFormat="false" ht="15" hidden="false" customHeight="false" outlineLevel="0" collapsed="false">
      <c r="A76" s="4" t="s">
        <v>388</v>
      </c>
      <c r="B76" s="4" t="s">
        <v>389</v>
      </c>
      <c r="C76" s="4" t="s">
        <v>107</v>
      </c>
      <c r="D76" s="4" t="s">
        <v>202</v>
      </c>
      <c r="E76" s="4" t="s">
        <v>101</v>
      </c>
      <c r="F76" s="4" t="s">
        <v>102</v>
      </c>
      <c r="G76" s="4" t="s">
        <v>390</v>
      </c>
      <c r="H76" s="6" t="n">
        <v>5</v>
      </c>
      <c r="I76" s="19" t="n">
        <v>44284</v>
      </c>
      <c r="J76" s="9" t="n">
        <v>0.000633083283872793</v>
      </c>
      <c r="K76" s="9" t="n">
        <v>0.136594630665777</v>
      </c>
      <c r="L76" s="9" t="n">
        <v>0.278994670761449</v>
      </c>
      <c r="M76" s="6" t="n">
        <v>5</v>
      </c>
      <c r="N76" s="19" t="n">
        <v>12820</v>
      </c>
      <c r="O76" s="9" t="n">
        <v>0.289495077228796</v>
      </c>
      <c r="P76" s="6" t="n">
        <v>5</v>
      </c>
      <c r="Q76" s="6" t="n">
        <v>5</v>
      </c>
      <c r="R76" s="9" t="n">
        <v>0.38884705788614</v>
      </c>
      <c r="S76" s="9" t="n">
        <v>0.261293973403754</v>
      </c>
      <c r="T76" s="19" t="n">
        <v>3895</v>
      </c>
      <c r="U76" s="20" t="n">
        <v>0.260901600910979</v>
      </c>
      <c r="V76" s="21" t="n">
        <v>18.6069277108434</v>
      </c>
      <c r="W76" s="9" t="n">
        <v>-0.0281442392260334</v>
      </c>
      <c r="X76" s="9" t="n">
        <v>0.0628443681690904</v>
      </c>
      <c r="Y76" s="21" t="n">
        <v>20.0740318906606</v>
      </c>
      <c r="Z76" s="21" t="n">
        <v>17.1653786707883</v>
      </c>
      <c r="AA76" s="22" t="n">
        <f aca="false">IF(AND(ISNUMBER(Y76),ISNUMBER(Z76),Y76&gt;0,Z76&gt;0),Y76/Z76,"")</f>
        <v>1.16944882345195</v>
      </c>
      <c r="AB76" s="21" t="n">
        <v>14.5327321309285</v>
      </c>
      <c r="AC76" s="9" t="n">
        <v>0.0562836879432624</v>
      </c>
      <c r="AD76" s="9" t="n">
        <v>0.0169759323231866</v>
      </c>
      <c r="AE76" s="4" t="s">
        <v>391</v>
      </c>
    </row>
    <row r="77" customFormat="false" ht="15" hidden="false" customHeight="false" outlineLevel="0" collapsed="false">
      <c r="A77" s="4" t="s">
        <v>392</v>
      </c>
      <c r="B77" s="4" t="s">
        <v>393</v>
      </c>
      <c r="C77" s="4" t="s">
        <v>113</v>
      </c>
      <c r="D77" s="4" t="s">
        <v>394</v>
      </c>
      <c r="E77" s="4" t="s">
        <v>101</v>
      </c>
      <c r="F77" s="4" t="s">
        <v>102</v>
      </c>
      <c r="G77" s="4" t="s">
        <v>103</v>
      </c>
      <c r="H77" s="6" t="n">
        <v>5</v>
      </c>
      <c r="I77" s="19" t="n">
        <v>88603</v>
      </c>
      <c r="J77" s="9" t="n">
        <v>0.0972310107198742</v>
      </c>
      <c r="K77" s="9" t="n">
        <v>0.0974138571676286</v>
      </c>
      <c r="L77" s="9" t="n">
        <v>0.104962585916955</v>
      </c>
      <c r="M77" s="6" t="n">
        <v>5</v>
      </c>
      <c r="N77" s="19" t="n">
        <v>7940</v>
      </c>
      <c r="O77" s="9" t="n">
        <v>0.0896132185140458</v>
      </c>
      <c r="P77" s="6" t="n">
        <v>5</v>
      </c>
      <c r="Q77" s="6" t="n">
        <v>5</v>
      </c>
      <c r="R77" s="9" t="n">
        <v>0.0740557812295256</v>
      </c>
      <c r="S77" s="9" t="n">
        <v>0.100271083440079</v>
      </c>
      <c r="T77" s="19" t="n">
        <v>32071</v>
      </c>
      <c r="U77" s="20" t="n">
        <v>2.14579151612472</v>
      </c>
      <c r="V77" s="21" t="n">
        <v>5.06811989100817</v>
      </c>
      <c r="W77" s="9" t="n">
        <v>-0.0871525674675281</v>
      </c>
      <c r="X77" s="9" t="n">
        <v>0.0123246391205715</v>
      </c>
      <c r="Y77" s="21" t="n">
        <v>32.0295652173913</v>
      </c>
      <c r="Z77" s="21" t="n">
        <v>33.4863813229572</v>
      </c>
      <c r="AA77" s="22" t="n">
        <f aca="false">IF(AND(ISNUMBER(Y77),ISNUMBER(Z77),Y77&gt;0,Z77&gt;0),Y77/Z77,"")</f>
        <v>0.956495266194465</v>
      </c>
      <c r="AB77" s="21" t="n">
        <v>17.1392446770982</v>
      </c>
      <c r="AC77" s="9" t="n">
        <v>0.0461727377852416</v>
      </c>
      <c r="AD77" s="9" t="n">
        <v>0.0864804222881843</v>
      </c>
      <c r="AE77" s="4" t="s">
        <v>395</v>
      </c>
    </row>
    <row r="78" customFormat="false" ht="15" hidden="false" customHeight="false" outlineLevel="0" collapsed="false">
      <c r="A78" s="4" t="s">
        <v>396</v>
      </c>
      <c r="B78" s="4" t="s">
        <v>397</v>
      </c>
      <c r="C78" s="4" t="s">
        <v>107</v>
      </c>
      <c r="D78" s="4" t="s">
        <v>202</v>
      </c>
      <c r="E78" s="4" t="s">
        <v>101</v>
      </c>
      <c r="F78" s="4" t="s">
        <v>102</v>
      </c>
      <c r="G78" s="4" t="s">
        <v>103</v>
      </c>
      <c r="H78" s="6" t="n">
        <v>5</v>
      </c>
      <c r="I78" s="19" t="n">
        <v>17682</v>
      </c>
      <c r="J78" s="9" t="n">
        <v>-0.0406775649113262</v>
      </c>
      <c r="K78" s="9" t="n">
        <v>0.130490377853078</v>
      </c>
      <c r="L78" s="9" t="n">
        <v>0.340628888134826</v>
      </c>
      <c r="M78" s="6" t="n">
        <v>5</v>
      </c>
      <c r="N78" s="19" t="n">
        <v>2603</v>
      </c>
      <c r="O78" s="9" t="n">
        <v>0.147211853862685</v>
      </c>
      <c r="P78" s="6" t="n">
        <v>5</v>
      </c>
      <c r="Q78" s="6" t="n">
        <v>5</v>
      </c>
      <c r="R78" s="9" t="n">
        <v>0.188093812751018</v>
      </c>
      <c r="S78" s="9" t="n">
        <v>0.307318871750753</v>
      </c>
      <c r="T78" s="19" t="n">
        <v>10510</v>
      </c>
      <c r="U78" s="20" t="n">
        <v>1.27363063499758</v>
      </c>
      <c r="V78" s="21" t="n">
        <v>11.0920810313076</v>
      </c>
      <c r="W78" s="9" t="n">
        <v>-0.0140388768898488</v>
      </c>
      <c r="X78" s="9" t="n">
        <v>0.0236964144327565</v>
      </c>
      <c r="Y78" s="21" t="n">
        <v>42.6232980332829</v>
      </c>
      <c r="Z78" s="21" t="n">
        <v>23.9074333800842</v>
      </c>
      <c r="AA78" s="22" t="n">
        <f aca="false">IF(AND(ISNUMBER(Y78),ISNUMBER(Z78),Y78&gt;0,Z78&gt;0),Y78/Z78,"")</f>
        <v>1.78284709009332</v>
      </c>
      <c r="AB78" s="21" t="n">
        <v>27.665399240802</v>
      </c>
      <c r="AC78" s="9" t="n">
        <v>0.0208124105569211</v>
      </c>
      <c r="AD78" s="9" t="n">
        <v>0.240758605926931</v>
      </c>
      <c r="AE78" s="4" t="s">
        <v>398</v>
      </c>
    </row>
    <row r="79" customFormat="false" ht="15" hidden="false" customHeight="false" outlineLevel="0" collapsed="false">
      <c r="A79" s="4" t="s">
        <v>399</v>
      </c>
      <c r="B79" s="4" t="s">
        <v>400</v>
      </c>
      <c r="C79" s="4" t="s">
        <v>113</v>
      </c>
      <c r="D79" s="4" t="s">
        <v>401</v>
      </c>
      <c r="E79" s="4" t="s">
        <v>101</v>
      </c>
      <c r="F79" s="4" t="s">
        <v>102</v>
      </c>
      <c r="G79" s="4" t="s">
        <v>103</v>
      </c>
      <c r="H79" s="6" t="n">
        <v>5</v>
      </c>
      <c r="I79" s="19" t="n">
        <v>24510</v>
      </c>
      <c r="J79" s="9" t="n">
        <v>-0.00491524230149887</v>
      </c>
      <c r="K79" s="9" t="n">
        <v>0.0107216494845361</v>
      </c>
      <c r="L79" s="9" t="n">
        <v>0.401427988576091</v>
      </c>
      <c r="M79" s="6" t="n">
        <v>5</v>
      </c>
      <c r="N79" s="19" t="n">
        <v>5499</v>
      </c>
      <c r="O79" s="9" t="n">
        <v>0.224357405140759</v>
      </c>
      <c r="P79" s="6" t="n">
        <v>5</v>
      </c>
      <c r="Q79" s="6" t="n">
        <v>5</v>
      </c>
      <c r="R79" s="9" t="n">
        <v>0.159422635162852</v>
      </c>
      <c r="S79" s="9" t="n">
        <v>0.386527319001462</v>
      </c>
      <c r="T79" s="19" t="n">
        <v>30289</v>
      </c>
      <c r="U79" s="20" t="n">
        <v>2.34072642967543</v>
      </c>
      <c r="V79" s="21" t="n">
        <v>7.51642475171887</v>
      </c>
      <c r="W79" s="9" t="n">
        <v>-0.0488782051282052</v>
      </c>
      <c r="X79" s="9" t="n">
        <v>0</v>
      </c>
      <c r="Y79" s="21" t="n">
        <v>22.7724333063864</v>
      </c>
      <c r="Z79" s="21" t="n">
        <v>20.5441441441441</v>
      </c>
      <c r="AA79" s="22" t="n">
        <f aca="false">IF(AND(ISNUMBER(Y79),ISNUMBER(Z79),Y79&gt;0,Z79&gt;0),Y79/Z79,"")</f>
        <v>1.10846347000916</v>
      </c>
      <c r="AB79" s="21" t="n">
        <v>14.7683905153291</v>
      </c>
      <c r="AC79" s="9" t="n">
        <v>0.0389501331808711</v>
      </c>
      <c r="AD79" s="9" t="n">
        <v>0.105554904732762</v>
      </c>
      <c r="AE79" s="4" t="s">
        <v>402</v>
      </c>
    </row>
    <row r="80" customFormat="false" ht="15" hidden="false" customHeight="false" outlineLevel="0" collapsed="false">
      <c r="A80" s="4" t="s">
        <v>403</v>
      </c>
      <c r="B80" s="4" t="s">
        <v>404</v>
      </c>
      <c r="C80" s="4" t="s">
        <v>113</v>
      </c>
      <c r="D80" s="4" t="s">
        <v>405</v>
      </c>
      <c r="E80" s="4" t="s">
        <v>101</v>
      </c>
      <c r="F80" s="4" t="s">
        <v>102</v>
      </c>
      <c r="G80" s="4" t="s">
        <v>103</v>
      </c>
      <c r="H80" s="6" t="n">
        <v>5</v>
      </c>
      <c r="I80" s="19" t="n">
        <v>25204</v>
      </c>
      <c r="J80" s="9" t="n">
        <v>0.0856315247317423</v>
      </c>
      <c r="K80" s="9" t="n">
        <v>0.142365045551376</v>
      </c>
      <c r="L80" s="9" t="n">
        <v>0.182788446278369</v>
      </c>
      <c r="M80" s="6" t="n">
        <v>5</v>
      </c>
      <c r="N80" s="19" t="n">
        <v>2816</v>
      </c>
      <c r="O80" s="9" t="n">
        <v>0.111728297095699</v>
      </c>
      <c r="P80" s="6" t="n">
        <v>5</v>
      </c>
      <c r="Q80" s="6" t="n">
        <v>5</v>
      </c>
      <c r="R80" s="9" t="n">
        <v>0.111310823622962</v>
      </c>
      <c r="S80" s="9" t="n">
        <v>0.271043939545591</v>
      </c>
      <c r="T80" s="19" t="n">
        <v>22706</v>
      </c>
      <c r="U80" s="20" t="n">
        <v>4.47585255273014</v>
      </c>
      <c r="V80" s="21" t="n">
        <v>5.0515350877193</v>
      </c>
      <c r="W80" s="9" t="n">
        <v>-0.0260240963855422</v>
      </c>
      <c r="X80" s="9" t="n">
        <v>0</v>
      </c>
      <c r="Y80" s="21" t="n">
        <v>29.6775035260931</v>
      </c>
      <c r="Z80" s="21" t="n">
        <v>31.4762741652021</v>
      </c>
      <c r="AA80" s="22" t="n">
        <f aca="false">IF(AND(ISNUMBER(Y80),ISNUMBER(Z80),Y80&gt;0,Z80&gt;0),Y80/Z80,"")</f>
        <v>0.942853127099217</v>
      </c>
      <c r="AB80" s="21" t="n">
        <v>14.0984391907454</v>
      </c>
      <c r="AC80" s="9" t="n">
        <v>0.0423101473435849</v>
      </c>
      <c r="AD80" s="9" t="n">
        <v>0.0476543432391683</v>
      </c>
      <c r="AE80" s="4" t="s">
        <v>406</v>
      </c>
    </row>
    <row r="81" customFormat="false" ht="15" hidden="false" customHeight="false" outlineLevel="0" collapsed="false">
      <c r="A81" s="4" t="s">
        <v>407</v>
      </c>
      <c r="B81" s="4" t="s">
        <v>408</v>
      </c>
      <c r="C81" s="4" t="s">
        <v>99</v>
      </c>
      <c r="D81" s="4" t="s">
        <v>409</v>
      </c>
      <c r="E81" s="4" t="s">
        <v>101</v>
      </c>
      <c r="F81" s="4" t="s">
        <v>102</v>
      </c>
      <c r="G81" s="4" t="s">
        <v>165</v>
      </c>
      <c r="H81" s="6" t="n">
        <v>5</v>
      </c>
      <c r="I81" s="19" t="n">
        <v>713163</v>
      </c>
      <c r="J81" s="9" t="n">
        <v>0.0527229092916888</v>
      </c>
      <c r="K81" s="9" t="n">
        <v>0.0472521421176677</v>
      </c>
      <c r="L81" s="9" t="n">
        <v>0.0418207338294331</v>
      </c>
      <c r="M81" s="6" t="n">
        <v>5</v>
      </c>
      <c r="N81" s="19" t="n">
        <v>14923</v>
      </c>
      <c r="O81" s="9" t="n">
        <v>0.0209250900565509</v>
      </c>
      <c r="P81" s="6" t="n">
        <v>5</v>
      </c>
      <c r="Q81" s="6" t="n">
        <v>5</v>
      </c>
      <c r="R81" s="9" t="n">
        <v>0.144952567856879</v>
      </c>
      <c r="S81" s="9" t="n">
        <v>0.206187605952157</v>
      </c>
      <c r="T81" s="19" t="n">
        <v>56368</v>
      </c>
      <c r="U81" s="20" t="n">
        <v>1.21297153063201</v>
      </c>
      <c r="V81" s="21" t="n">
        <v>10.6555912826009</v>
      </c>
      <c r="W81" s="9" t="n">
        <v>-0.0219458668617411</v>
      </c>
      <c r="X81" s="9" t="n">
        <v>0</v>
      </c>
      <c r="Y81" s="21" t="n">
        <v>40.8231046931408</v>
      </c>
      <c r="Z81" s="21" t="n">
        <v>33.5384615384615</v>
      </c>
      <c r="AA81" s="22" t="n">
        <f aca="false">IF(AND(ISNUMBER(Y81),ISNUMBER(Z81),Y81&gt;0,Z81&gt;0),Y81/Z81,"")</f>
        <v>1.21720266286888</v>
      </c>
      <c r="AB81" s="21" t="n">
        <v>20.7272251817638</v>
      </c>
      <c r="AC81" s="9" t="n">
        <v>0.0148931391895533</v>
      </c>
      <c r="AD81" s="9" t="n">
        <v>0.0553156837791642</v>
      </c>
      <c r="AE81" s="4" t="s">
        <v>410</v>
      </c>
    </row>
    <row r="82" customFormat="false" ht="15" hidden="false" customHeight="false" outlineLevel="0" collapsed="false">
      <c r="A82" s="4" t="s">
        <v>411</v>
      </c>
      <c r="B82" s="4" t="s">
        <v>412</v>
      </c>
      <c r="C82" s="4" t="s">
        <v>148</v>
      </c>
      <c r="D82" s="4" t="s">
        <v>194</v>
      </c>
      <c r="E82" s="4" t="s">
        <v>101</v>
      </c>
      <c r="F82" s="4" t="s">
        <v>102</v>
      </c>
      <c r="G82" s="4" t="s">
        <v>103</v>
      </c>
      <c r="H82" s="6" t="n">
        <v>5</v>
      </c>
      <c r="I82" s="19" t="n">
        <v>61160</v>
      </c>
      <c r="J82" s="9" t="n">
        <v>0.0175250491815382</v>
      </c>
      <c r="K82" s="9" t="n">
        <v>0.0856676252352042</v>
      </c>
      <c r="L82" s="9" t="n">
        <v>0.328499018966645</v>
      </c>
      <c r="M82" s="6" t="n">
        <v>5</v>
      </c>
      <c r="N82" s="19" t="n">
        <v>17816</v>
      </c>
      <c r="O82" s="9" t="n">
        <v>0.291301504251145</v>
      </c>
      <c r="P82" s="6" t="n">
        <v>5</v>
      </c>
      <c r="Q82" s="6" t="n">
        <v>5</v>
      </c>
      <c r="R82" s="9" t="n">
        <v>0.261985870623772</v>
      </c>
      <c r="S82" s="9"/>
      <c r="T82" s="19" t="n">
        <v>63811</v>
      </c>
      <c r="U82" s="20" t="n">
        <v>3.61966078620455</v>
      </c>
      <c r="V82" s="21" t="n">
        <v>6.94469408918078</v>
      </c>
      <c r="W82" s="9" t="n">
        <v>-0.0022497187851519</v>
      </c>
      <c r="X82" s="9" t="n">
        <v>0.0156147809025507</v>
      </c>
      <c r="Y82" s="21" t="n">
        <v>78.0983208902662</v>
      </c>
      <c r="Z82" s="21" t="n">
        <v>56.7655677655678</v>
      </c>
      <c r="AA82" s="22" t="n">
        <f aca="false">IF(AND(ISNUMBER(Y82),ISNUMBER(Z82),Y82&gt;0,Z82&gt;0),Y82/Z82,"")</f>
        <v>1.37580445267101</v>
      </c>
      <c r="AB82" s="21" t="n">
        <v>26.3010524134447</v>
      </c>
      <c r="AC82" s="9" t="n">
        <v>0.0369459482377299</v>
      </c>
      <c r="AD82" s="9" t="n">
        <v>0.105395351929366</v>
      </c>
      <c r="AE82" s="4" t="s">
        <v>413</v>
      </c>
    </row>
    <row r="83" customFormat="false" ht="15" hidden="false" customHeight="false" outlineLevel="0" collapsed="false">
      <c r="A83" s="4" t="s">
        <v>414</v>
      </c>
      <c r="B83" s="4" t="s">
        <v>415</v>
      </c>
      <c r="C83" s="4" t="s">
        <v>107</v>
      </c>
      <c r="D83" s="4" t="s">
        <v>202</v>
      </c>
      <c r="E83" s="4" t="s">
        <v>101</v>
      </c>
      <c r="F83" s="4" t="s">
        <v>102</v>
      </c>
      <c r="G83" s="4" t="s">
        <v>416</v>
      </c>
      <c r="H83" s="6" t="n">
        <v>5</v>
      </c>
      <c r="I83" s="19" t="n">
        <v>11019.707</v>
      </c>
      <c r="J83" s="9" t="n">
        <v>-0.0283838918415269</v>
      </c>
      <c r="K83" s="9" t="n">
        <v>0.168932160565481</v>
      </c>
      <c r="L83" s="9" t="n">
        <v>0.266113790502778</v>
      </c>
      <c r="M83" s="6" t="n">
        <v>5</v>
      </c>
      <c r="N83" s="19" t="n">
        <v>4278.65</v>
      </c>
      <c r="O83" s="9" t="n">
        <v>0.38827257385337</v>
      </c>
      <c r="P83" s="6" t="n">
        <v>5</v>
      </c>
      <c r="Q83" s="6" t="n">
        <v>5</v>
      </c>
      <c r="R83" s="9" t="n">
        <v>0.0961515397631698</v>
      </c>
      <c r="S83" s="9" t="n">
        <v>0.0670498706889732</v>
      </c>
      <c r="T83" s="19" t="n">
        <v>5012.289</v>
      </c>
      <c r="U83" s="20" t="n">
        <v>0.996741883992059</v>
      </c>
      <c r="V83" s="21" t="n">
        <v>9.22992861549308</v>
      </c>
      <c r="W83" s="9" t="n">
        <v>-0.0505927237001556</v>
      </c>
      <c r="X83" s="9" t="n">
        <v>0.0291804491716522</v>
      </c>
      <c r="Y83" s="21" t="n">
        <v>48.0425041322314</v>
      </c>
      <c r="Z83" s="21" t="n">
        <v>49.5685714285714</v>
      </c>
      <c r="AA83" s="22" t="n">
        <f aca="false">IF(AND(ISNUMBER(Y83),ISNUMBER(Z83),Y83&gt;0,Z83&gt;0),Y83/Z83,"")</f>
        <v>0.969213006298979</v>
      </c>
      <c r="AB83" s="21" t="n">
        <v>29.2018793486407</v>
      </c>
      <c r="AC83" s="9" t="n">
        <v>0.0249109953100362</v>
      </c>
      <c r="AD83" s="9" t="n">
        <v>0.370353838445977</v>
      </c>
      <c r="AE83" s="4" t="s">
        <v>417</v>
      </c>
    </row>
    <row r="84" customFormat="false" ht="15" hidden="false" customHeight="false" outlineLevel="0" collapsed="false">
      <c r="A84" s="4" t="s">
        <v>418</v>
      </c>
      <c r="B84" s="4" t="s">
        <v>419</v>
      </c>
      <c r="C84" s="4" t="s">
        <v>107</v>
      </c>
      <c r="D84" s="4" t="s">
        <v>202</v>
      </c>
      <c r="E84" s="4" t="s">
        <v>101</v>
      </c>
      <c r="F84" s="4" t="s">
        <v>102</v>
      </c>
      <c r="G84" s="4" t="s">
        <v>103</v>
      </c>
      <c r="H84" s="6" t="n">
        <v>4</v>
      </c>
      <c r="I84" s="19" t="n">
        <v>852.525</v>
      </c>
      <c r="J84" s="9" t="n">
        <v>1.20176444706758</v>
      </c>
      <c r="K84" s="9" t="n">
        <v>1.15126548739559</v>
      </c>
      <c r="L84" s="9" t="n">
        <v>0.203422773525703</v>
      </c>
      <c r="M84" s="6" t="n">
        <v>1</v>
      </c>
      <c r="N84" s="19" t="n">
        <v>281.762</v>
      </c>
      <c r="O84" s="9" t="n">
        <v>0.330502917802997</v>
      </c>
      <c r="P84" s="6" t="n">
        <v>2</v>
      </c>
      <c r="Q84" s="6" t="n">
        <v>2</v>
      </c>
      <c r="R84" s="9" t="n">
        <v>0.652509561117329</v>
      </c>
      <c r="S84" s="9" t="n">
        <v>0.160698545210812</v>
      </c>
      <c r="T84" s="19" t="n">
        <v>-1153.669</v>
      </c>
      <c r="U84" s="20" t="n">
        <v>-5.1278280040181</v>
      </c>
      <c r="V84" s="21" t="n">
        <v>999</v>
      </c>
      <c r="W84" s="9" t="n">
        <v>0.376375985036642</v>
      </c>
      <c r="X84" s="9" t="n">
        <v>0.187716489252515</v>
      </c>
      <c r="Y84" s="21" t="n">
        <v>149.359447004608</v>
      </c>
      <c r="Z84" s="21" t="n">
        <v>126.030303030303</v>
      </c>
      <c r="AA84" s="22" t="n">
        <f aca="false">IF(AND(ISNUMBER(Y84),ISNUMBER(Z84),Y84&gt;0,Z84&gt;0),Y84/Z84,"")</f>
        <v>1.18510741792548</v>
      </c>
      <c r="AB84" s="21" t="n">
        <v>166.01512756949</v>
      </c>
      <c r="AC84" s="9" t="n">
        <v>0.00498021537199787</v>
      </c>
      <c r="AD84" s="9" t="n">
        <v>1.2365975648808</v>
      </c>
      <c r="AE84" s="4" t="s">
        <v>420</v>
      </c>
    </row>
    <row r="85" customFormat="false" ht="15" hidden="false" customHeight="false" outlineLevel="0" collapsed="false">
      <c r="A85" s="4" t="s">
        <v>421</v>
      </c>
      <c r="B85" s="4" t="s">
        <v>422</v>
      </c>
      <c r="C85" s="4" t="s">
        <v>423</v>
      </c>
      <c r="D85" s="4" t="s">
        <v>424</v>
      </c>
      <c r="E85" s="4" t="s">
        <v>101</v>
      </c>
      <c r="F85" s="4" t="s">
        <v>349</v>
      </c>
      <c r="G85" s="4" t="s">
        <v>103</v>
      </c>
      <c r="H85" s="6" t="n">
        <v>5</v>
      </c>
      <c r="I85" s="19" t="n">
        <v>10645.1</v>
      </c>
      <c r="J85" s="9" t="n">
        <v>0.0334191401255419</v>
      </c>
      <c r="K85" s="9" t="n">
        <v>0.0511395054901651</v>
      </c>
      <c r="L85" s="9" t="n">
        <v>0.458483245812627</v>
      </c>
      <c r="M85" s="6" t="n">
        <v>5</v>
      </c>
      <c r="N85" s="19" t="n">
        <v>3783.6</v>
      </c>
      <c r="O85" s="9" t="n">
        <v>0.355431137330791</v>
      </c>
      <c r="P85" s="6" t="n">
        <v>5</v>
      </c>
      <c r="Q85" s="6" t="n">
        <v>5</v>
      </c>
      <c r="R85" s="9" t="n">
        <v>0.0719629196069734</v>
      </c>
      <c r="S85" s="9" t="n">
        <v>0.24430002027947</v>
      </c>
      <c r="T85" s="19" t="n">
        <v>43489.1</v>
      </c>
      <c r="U85" s="20" t="n">
        <v>7.12503891082458</v>
      </c>
      <c r="V85" s="21" t="n">
        <v>4.79477355339424</v>
      </c>
      <c r="W85" s="9" t="n">
        <v>0.0138149259859535</v>
      </c>
      <c r="X85" s="9" t="n">
        <v>0.0163643366431504</v>
      </c>
      <c r="Y85" s="21" t="n">
        <v>24.8378983516484</v>
      </c>
      <c r="Z85" s="21" t="n">
        <v>51.4059753954306</v>
      </c>
      <c r="AA85" s="22" t="n">
        <f aca="false">IF(AND(ISNUMBER(Y85),ISNUMBER(Z85),Y85&gt;0,Z85&gt;0),Y85/Z85,"")</f>
        <v>0.483171424344886</v>
      </c>
      <c r="AB85" s="21" t="n">
        <v>18.1446900701915</v>
      </c>
      <c r="AC85" s="9" t="n">
        <v>0.0471595698775393</v>
      </c>
      <c r="AD85" s="9" t="n">
        <v>0.0358061841598483</v>
      </c>
      <c r="AE85" s="4" t="s">
        <v>425</v>
      </c>
    </row>
    <row r="86" customFormat="false" ht="15" hidden="false" customHeight="false" outlineLevel="0" collapsed="false">
      <c r="A86" s="4" t="s">
        <v>426</v>
      </c>
      <c r="B86" s="4" t="s">
        <v>427</v>
      </c>
      <c r="C86" s="4" t="s">
        <v>99</v>
      </c>
      <c r="D86" s="4" t="s">
        <v>428</v>
      </c>
      <c r="E86" s="4" t="s">
        <v>101</v>
      </c>
      <c r="F86" s="4" t="s">
        <v>102</v>
      </c>
      <c r="G86" s="4" t="s">
        <v>103</v>
      </c>
      <c r="H86" s="6" t="n">
        <v>5</v>
      </c>
      <c r="I86" s="19" t="n">
        <v>716924</v>
      </c>
      <c r="J86" s="9" t="n">
        <v>0.117312836018064</v>
      </c>
      <c r="K86" s="9" t="n">
        <v>0.123777546832947</v>
      </c>
      <c r="L86" s="9" t="n">
        <v>0.111552967957552</v>
      </c>
      <c r="M86" s="6" t="n">
        <v>4</v>
      </c>
      <c r="N86" s="19" t="n">
        <v>7695</v>
      </c>
      <c r="O86" s="9" t="n">
        <v>0.0107333552789417</v>
      </c>
      <c r="P86" s="6" t="n">
        <v>3</v>
      </c>
      <c r="Q86" s="6" t="n">
        <v>5</v>
      </c>
      <c r="R86" s="9" t="n">
        <v>0.143258401489265</v>
      </c>
      <c r="S86" s="9" t="n">
        <v>0.188948219867904</v>
      </c>
      <c r="T86" s="19" t="n">
        <v>29958</v>
      </c>
      <c r="U86" s="20" t="n">
        <v>0.181189178727599</v>
      </c>
      <c r="V86" s="21" t="n">
        <v>35.1693051890941</v>
      </c>
      <c r="W86" s="9" t="n">
        <v>0.0626165472568456</v>
      </c>
      <c r="X86" s="9" t="n">
        <v>0.0271535058109367</v>
      </c>
      <c r="Y86" s="21" t="n">
        <v>20.6484126984127</v>
      </c>
      <c r="Z86" s="21" t="n">
        <v>44.641348110076</v>
      </c>
      <c r="AA86" s="22" t="n">
        <f aca="false">IF(AND(ISNUMBER(Y86),ISNUMBER(Z86),Y86&gt;0,Z86&gt;0),Y86/Z86,"")</f>
        <v>0.462540079378833</v>
      </c>
      <c r="AB86" s="21" t="n">
        <v>11.5623773627248</v>
      </c>
      <c r="AC86" s="9" t="n">
        <v>-0.00416399489978431</v>
      </c>
      <c r="AD86" s="9" t="n">
        <v>0.155930806644777</v>
      </c>
      <c r="AE86" s="4" t="s">
        <v>429</v>
      </c>
    </row>
    <row r="87" customFormat="false" ht="15" hidden="false" customHeight="false" outlineLevel="0" collapsed="false">
      <c r="A87" s="4" t="s">
        <v>430</v>
      </c>
      <c r="B87" s="4" t="s">
        <v>431</v>
      </c>
      <c r="C87" s="4" t="s">
        <v>135</v>
      </c>
      <c r="D87" s="4" t="s">
        <v>432</v>
      </c>
      <c r="E87" s="4" t="s">
        <v>101</v>
      </c>
      <c r="F87" s="4" t="s">
        <v>137</v>
      </c>
      <c r="G87" s="4" t="s">
        <v>103</v>
      </c>
      <c r="H87" s="6" t="n">
        <v>5</v>
      </c>
      <c r="I87" s="19" t="n">
        <v>24216</v>
      </c>
      <c r="J87" s="9" t="n">
        <v>0.10654305695991</v>
      </c>
      <c r="K87" s="9" t="n">
        <v>0.186651639143431</v>
      </c>
      <c r="L87" s="9" t="n">
        <v>0.290840766435415</v>
      </c>
      <c r="M87" s="6" t="n">
        <v>5</v>
      </c>
      <c r="N87" s="19" t="n">
        <v>3552</v>
      </c>
      <c r="O87" s="9" t="n">
        <v>0.146679881070367</v>
      </c>
      <c r="P87" s="6" t="n">
        <v>5</v>
      </c>
      <c r="Q87" s="6" t="n">
        <v>5</v>
      </c>
      <c r="R87" s="9" t="n">
        <v>0.0893365552897352</v>
      </c>
      <c r="S87" s="9" t="n">
        <v>0.0902310617139514</v>
      </c>
      <c r="T87" s="19" t="n">
        <v>739</v>
      </c>
      <c r="U87" s="20" t="n">
        <v>0.0911333086693797</v>
      </c>
      <c r="V87" s="21" t="n">
        <v>9.97592067988669</v>
      </c>
      <c r="W87" s="9" t="n">
        <v>0.055493983615414</v>
      </c>
      <c r="X87" s="9" t="n">
        <v>0.0539725801123224</v>
      </c>
      <c r="Y87" s="21" t="n">
        <v>25.3684831328143</v>
      </c>
      <c r="Z87" s="21" t="n">
        <v>23.6212590299278</v>
      </c>
      <c r="AA87" s="22" t="n">
        <f aca="false">IF(AND(ISNUMBER(Y87),ISNUMBER(Z87),Y87&gt;0,Z87&gt;0),Y87/Z87,"")</f>
        <v>1.07396828850964</v>
      </c>
      <c r="AB87" s="21" t="n">
        <v>15.853369132086</v>
      </c>
      <c r="AC87" s="9" t="n">
        <v>0.013925138884729</v>
      </c>
      <c r="AD87" s="9" t="n">
        <v>0.199425286959035</v>
      </c>
      <c r="AE87" s="4" t="s">
        <v>433</v>
      </c>
    </row>
    <row r="88" customFormat="false" ht="15" hidden="false" customHeight="false" outlineLevel="0" collapsed="false">
      <c r="A88" s="4" t="s">
        <v>434</v>
      </c>
      <c r="B88" s="4" t="s">
        <v>435</v>
      </c>
      <c r="C88" s="4" t="s">
        <v>135</v>
      </c>
      <c r="D88" s="4" t="s">
        <v>436</v>
      </c>
      <c r="E88" s="4" t="s">
        <v>101</v>
      </c>
      <c r="F88" s="4" t="s">
        <v>137</v>
      </c>
      <c r="G88" s="4" t="s">
        <v>103</v>
      </c>
      <c r="H88" s="6" t="n">
        <v>5</v>
      </c>
      <c r="I88" s="19" t="n">
        <v>371444</v>
      </c>
      <c r="J88" s="9" t="n">
        <v>0.0714022352324699</v>
      </c>
      <c r="K88" s="9" t="n">
        <v>2.96150315131083E-005</v>
      </c>
      <c r="L88" s="9" t="n">
        <v>0.158516492391855</v>
      </c>
      <c r="M88" s="6" t="n">
        <v>4</v>
      </c>
      <c r="N88" s="19" t="n">
        <v>25042</v>
      </c>
      <c r="O88" s="9" t="n">
        <v>0.0674179687920656</v>
      </c>
      <c r="P88" s="6" t="n">
        <v>5</v>
      </c>
      <c r="Q88" s="6" t="n">
        <v>5</v>
      </c>
      <c r="R88" s="9" t="n">
        <v>0.0958392569424699</v>
      </c>
      <c r="S88" s="9" t="n">
        <v>0.0930494940273974</v>
      </c>
      <c r="T88" s="19" t="n">
        <v>-234357</v>
      </c>
      <c r="U88" s="20" t="n">
        <v>-3.23894355685776</v>
      </c>
      <c r="V88" s="21" t="n">
        <v>11.6157032945354</v>
      </c>
      <c r="W88" s="9" t="n">
        <v>-0.0208681104917411</v>
      </c>
      <c r="X88" s="9" t="n">
        <v>0</v>
      </c>
      <c r="Y88" s="21" t="n">
        <v>13.0305775324015</v>
      </c>
      <c r="Z88" s="21" t="n">
        <v>9.51987624238317</v>
      </c>
      <c r="AA88" s="22" t="n">
        <f aca="false">IF(AND(ISNUMBER(Y88),ISNUMBER(Z88),Y88&gt;0,Z88&gt;0),Y88/Z88,"")</f>
        <v>1.36877593790436</v>
      </c>
      <c r="AB88" s="21" t="n">
        <v>15.8582750983088</v>
      </c>
      <c r="AC88" s="9" t="n">
        <v>0.0215317353604378</v>
      </c>
      <c r="AD88" s="9" t="n">
        <v>0.0863590473934159</v>
      </c>
      <c r="AE88" s="4" t="s">
        <v>437</v>
      </c>
    </row>
    <row r="89" customFormat="false" ht="15" hidden="false" customHeight="false" outlineLevel="0" collapsed="false">
      <c r="A89" s="4" t="s">
        <v>438</v>
      </c>
      <c r="B89" s="4" t="s">
        <v>439</v>
      </c>
      <c r="C89" s="4" t="s">
        <v>135</v>
      </c>
      <c r="D89" s="4" t="s">
        <v>440</v>
      </c>
      <c r="E89" s="4" t="s">
        <v>101</v>
      </c>
      <c r="F89" s="4" t="s">
        <v>137</v>
      </c>
      <c r="G89" s="4" t="s">
        <v>103</v>
      </c>
      <c r="H89" s="6" t="n">
        <v>5</v>
      </c>
      <c r="I89" s="19" t="n">
        <v>7181.325</v>
      </c>
      <c r="J89" s="9" t="n">
        <v>0.310027652212454</v>
      </c>
      <c r="K89" s="9" t="n">
        <v>0.0940424081067295</v>
      </c>
      <c r="L89" s="9" t="n">
        <v>0.202768291366844</v>
      </c>
      <c r="M89" s="6" t="n">
        <v>4</v>
      </c>
      <c r="N89" s="19" t="n">
        <v>2426.383</v>
      </c>
      <c r="O89" s="9" t="n">
        <v>0.337873999575287</v>
      </c>
      <c r="P89" s="6" t="n">
        <v>4</v>
      </c>
      <c r="Q89" s="6" t="n">
        <v>4</v>
      </c>
      <c r="R89" s="9" t="n">
        <v>0.107404865584092</v>
      </c>
      <c r="S89" s="9" t="n">
        <v>0.085197191817946</v>
      </c>
      <c r="T89" s="19" t="n">
        <v>-4082.607</v>
      </c>
      <c r="U89" s="20" t="n">
        <v>-2.27328546148852</v>
      </c>
      <c r="V89" s="21" t="n">
        <v>17.0482830482479</v>
      </c>
      <c r="W89" s="9" t="n">
        <v>0.291767489138159</v>
      </c>
      <c r="X89" s="9" t="n">
        <v>0.116892077715463</v>
      </c>
      <c r="Y89" s="21" t="n">
        <v>-49.2560975609756</v>
      </c>
      <c r="Z89" s="21" t="n">
        <v>35.2279893939094</v>
      </c>
      <c r="AA89" s="22" t="str">
        <f aca="false">IF(AND(ISNUMBER(Y89),ISNUMBER(Z89),Y89&gt;0,Z89&gt;0),Y89/Z89,"")</f>
        <v/>
      </c>
      <c r="AB89" s="21" t="n">
        <v>-71.2531931715845</v>
      </c>
      <c r="AC89" s="9" t="n">
        <v>0.0554851721510005</v>
      </c>
      <c r="AD89" s="9" t="n">
        <v>-0.274436752827647</v>
      </c>
      <c r="AE89" s="4" t="s">
        <v>441</v>
      </c>
    </row>
    <row r="90" customFormat="false" ht="15" hidden="false" customHeight="false" outlineLevel="0" collapsed="false">
      <c r="A90" s="4" t="s">
        <v>442</v>
      </c>
      <c r="B90" s="4" t="s">
        <v>443</v>
      </c>
      <c r="C90" s="4" t="s">
        <v>444</v>
      </c>
      <c r="D90" s="4" t="s">
        <v>445</v>
      </c>
      <c r="E90" s="4" t="s">
        <v>101</v>
      </c>
      <c r="F90" s="4" t="s">
        <v>102</v>
      </c>
      <c r="G90" s="4" t="s">
        <v>446</v>
      </c>
      <c r="H90" s="6" t="n">
        <v>5</v>
      </c>
      <c r="I90" s="19" t="n">
        <v>1335.116</v>
      </c>
      <c r="J90" s="9" t="n">
        <v>0.935297967143879</v>
      </c>
      <c r="K90" s="9" t="n">
        <v>2.05675920096159</v>
      </c>
      <c r="L90" s="9" t="n">
        <v>0.333308117047508</v>
      </c>
      <c r="M90" s="6" t="n">
        <v>2</v>
      </c>
      <c r="N90" s="19" t="n">
        <v>406.996</v>
      </c>
      <c r="O90" s="9" t="n">
        <v>0.304839429682515</v>
      </c>
      <c r="P90" s="6" t="n">
        <v>3</v>
      </c>
      <c r="Q90" s="6" t="n">
        <v>3</v>
      </c>
      <c r="R90" s="9" t="n">
        <v>0.544391613784389</v>
      </c>
      <c r="S90" s="9" t="n">
        <v>0.228860367162044</v>
      </c>
      <c r="T90" s="19" t="n">
        <v>-1417.838</v>
      </c>
      <c r="U90" s="20" t="n">
        <v>-2.77968208409793</v>
      </c>
      <c r="V90" s="21" t="n">
        <v>999</v>
      </c>
      <c r="W90" s="9" t="n">
        <v>0.28436911487759</v>
      </c>
      <c r="X90" s="9" t="n">
        <v>0.136795604277082</v>
      </c>
      <c r="Y90" s="21" t="n">
        <v>68.0813559322034</v>
      </c>
      <c r="Z90" s="21" t="n">
        <v>104.224163116251</v>
      </c>
      <c r="AA90" s="22" t="n">
        <f aca="false">IF(AND(ISNUMBER(Y90),ISNUMBER(Z90),Y90&gt;0,Z90&gt;0),Y90/Z90,"")</f>
        <v>0.653220461518755</v>
      </c>
      <c r="AB90" s="21" t="n">
        <v>62.7892309313335</v>
      </c>
      <c r="AC90" s="9" t="n">
        <v>0.0117108675504673</v>
      </c>
      <c r="AD90" s="9" t="n">
        <v>0.873998727451397</v>
      </c>
      <c r="AE90" s="4" t="s">
        <v>447</v>
      </c>
    </row>
    <row r="91" customFormat="false" ht="15" hidden="false" customHeight="false" outlineLevel="0" collapsed="false">
      <c r="A91" s="4" t="s">
        <v>448</v>
      </c>
      <c r="B91" s="4" t="s">
        <v>449</v>
      </c>
      <c r="C91" s="4" t="s">
        <v>107</v>
      </c>
      <c r="D91" s="4" t="s">
        <v>108</v>
      </c>
      <c r="E91" s="4" t="s">
        <v>101</v>
      </c>
      <c r="F91" s="4" t="s">
        <v>102</v>
      </c>
      <c r="G91" s="4" t="s">
        <v>165</v>
      </c>
      <c r="H91" s="6" t="n">
        <v>5</v>
      </c>
      <c r="I91" s="19" t="n">
        <v>4812.005</v>
      </c>
      <c r="J91" s="9" t="n">
        <v>0.290068665369797</v>
      </c>
      <c r="K91" s="9" t="n">
        <v>0.217112451765772</v>
      </c>
      <c r="L91" s="9" t="n">
        <v>-0.0609500613569604</v>
      </c>
      <c r="M91" s="6" t="n">
        <v>1</v>
      </c>
      <c r="N91" s="19" t="n">
        <v>1310.241</v>
      </c>
      <c r="O91" s="9" t="n">
        <v>0.272285876677186</v>
      </c>
      <c r="P91" s="6" t="n">
        <v>5</v>
      </c>
      <c r="Q91" s="6" t="n">
        <v>5</v>
      </c>
      <c r="R91" s="9" t="n">
        <v>-0.0156863646030525</v>
      </c>
      <c r="S91" s="9" t="n">
        <v>-0.0363327412101002</v>
      </c>
      <c r="T91" s="19" t="n">
        <v>-4410.048</v>
      </c>
      <c r="U91" s="20" t="n">
        <v>-24.1668977384195</v>
      </c>
      <c r="V91" s="21" t="n">
        <v>-10.4668641376111</v>
      </c>
      <c r="W91" s="9" t="n">
        <v>0.107206430498544</v>
      </c>
      <c r="X91" s="9" t="n">
        <v>0.227904792285129</v>
      </c>
      <c r="Y91" s="21" t="n">
        <v>7552.41477272728</v>
      </c>
      <c r="Z91" s="21" t="n">
        <v>790.594594594595</v>
      </c>
      <c r="AA91" s="22" t="n">
        <f aca="false">IF(AND(ISNUMBER(Y91),ISNUMBER(Z91),Y91&gt;0,Z91&gt;0),Y91/Z91,"")</f>
        <v>9.55282874986015</v>
      </c>
      <c r="AB91" s="21" t="n">
        <v>610.051965597438</v>
      </c>
      <c r="AC91" s="9" t="n">
        <v>0.00581068710710337</v>
      </c>
      <c r="AD91" s="9" t="n">
        <v>0.24806212940344</v>
      </c>
      <c r="AE91" s="4" t="s">
        <v>450</v>
      </c>
    </row>
    <row r="92" customFormat="false" ht="15" hidden="false" customHeight="false" outlineLevel="0" collapsed="false">
      <c r="A92" s="4" t="s">
        <v>451</v>
      </c>
      <c r="B92" s="4" t="s">
        <v>452</v>
      </c>
      <c r="C92" s="4"/>
      <c r="D92" s="4"/>
      <c r="E92" s="4" t="s">
        <v>101</v>
      </c>
      <c r="F92" s="4" t="s">
        <v>102</v>
      </c>
      <c r="G92" s="4" t="s">
        <v>103</v>
      </c>
      <c r="H92" s="6" t="n">
        <v>5</v>
      </c>
      <c r="I92" s="19" t="n">
        <v>184432</v>
      </c>
      <c r="J92" s="9" t="n">
        <v>-0.0785287489536496</v>
      </c>
      <c r="K92" s="9" t="n">
        <v>-0.0464392443153029</v>
      </c>
      <c r="L92" s="9" t="n">
        <v>0.0904073045892253</v>
      </c>
      <c r="M92" s="6" t="n">
        <v>5</v>
      </c>
      <c r="N92" s="19" t="n">
        <v>16592</v>
      </c>
      <c r="O92" s="9" t="n">
        <v>0.0899626962783031</v>
      </c>
      <c r="P92" s="6" t="n">
        <v>5</v>
      </c>
      <c r="Q92" s="6" t="n">
        <v>5</v>
      </c>
      <c r="R92" s="9" t="n">
        <v>0.0775898418322877</v>
      </c>
      <c r="S92" s="9" t="n">
        <v>0.0639986262592623</v>
      </c>
      <c r="T92" s="19" t="n">
        <v>34461</v>
      </c>
      <c r="U92" s="20" t="n">
        <v>0.838630390343619</v>
      </c>
      <c r="V92" s="21" t="n">
        <v>13.7009038619556</v>
      </c>
      <c r="W92" s="9" t="n">
        <v>-0.0434355506971428</v>
      </c>
      <c r="X92" s="9" t="n">
        <v>0</v>
      </c>
      <c r="Y92" s="21" t="n">
        <v>20.738299904489</v>
      </c>
      <c r="Z92" s="21" t="n">
        <v>14.398773006135</v>
      </c>
      <c r="AA92" s="22" t="n">
        <f aca="false">IF(AND(ISNUMBER(Y92),ISNUMBER(Z92),Y92&gt;0,Z92&gt;0),Y92/Z92,"")</f>
        <v>1.44028243904206</v>
      </c>
      <c r="AB92" s="21" t="n">
        <v>8.27897076626038</v>
      </c>
      <c r="AC92" s="9" t="n">
        <v>0.062530958194371</v>
      </c>
      <c r="AD92" s="9" t="n">
        <v>0.313372397121974</v>
      </c>
      <c r="AE92" s="4" t="s">
        <v>453</v>
      </c>
    </row>
    <row r="93" customFormat="false" ht="15" hidden="false" customHeight="false" outlineLevel="0" collapsed="false">
      <c r="A93" s="4" t="s">
        <v>454</v>
      </c>
      <c r="B93" s="4" t="s">
        <v>455</v>
      </c>
      <c r="C93" s="4" t="s">
        <v>107</v>
      </c>
      <c r="D93" s="4" t="s">
        <v>248</v>
      </c>
      <c r="E93" s="4" t="s">
        <v>101</v>
      </c>
      <c r="F93" s="4" t="s">
        <v>102</v>
      </c>
      <c r="G93" s="4" t="s">
        <v>103</v>
      </c>
      <c r="H93" s="6" t="n">
        <v>5</v>
      </c>
      <c r="I93" s="19" t="n">
        <v>3427.158</v>
      </c>
      <c r="J93" s="9" t="n">
        <v>0.269495393762575</v>
      </c>
      <c r="K93" s="9" t="n">
        <v>0.276753685818331</v>
      </c>
      <c r="L93" s="9" t="n">
        <v>-0.0129474625914533</v>
      </c>
      <c r="M93" s="6" t="n">
        <v>3</v>
      </c>
      <c r="N93" s="19" t="n">
        <v>1000.557</v>
      </c>
      <c r="O93" s="9" t="n">
        <v>0.291949481173614</v>
      </c>
      <c r="P93" s="6" t="n">
        <v>5</v>
      </c>
      <c r="Q93" s="6" t="n">
        <v>5</v>
      </c>
      <c r="R93" s="9" t="n">
        <v>0.0023252122553913</v>
      </c>
      <c r="S93" s="9" t="n">
        <v>0.0288679135074538</v>
      </c>
      <c r="T93" s="19" t="n">
        <v>-2939.644</v>
      </c>
      <c r="U93" s="20" t="n">
        <v>-15.1656245485875</v>
      </c>
      <c r="V93" s="21" t="n">
        <v>-4.01238810018989</v>
      </c>
      <c r="W93" s="9" t="n">
        <v>0.152376272153705</v>
      </c>
      <c r="X93" s="9" t="n">
        <v>0.219036005926777</v>
      </c>
      <c r="Y93" s="21" t="n">
        <v>571.822405470636</v>
      </c>
      <c r="Z93" s="21" t="n">
        <v>438.677419354839</v>
      </c>
      <c r="AA93" s="22" t="n">
        <f aca="false">IF(AND(ISNUMBER(Y93),ISNUMBER(Z93),Y93&gt;0,Z93&gt;0),Y93/Z93,"")</f>
        <v>1.30351456501138</v>
      </c>
      <c r="AB93" s="21" t="n">
        <v>343.766728418442</v>
      </c>
      <c r="AC93" s="9" t="n">
        <v>0.0112926472339552</v>
      </c>
      <c r="AD93" s="9" t="n">
        <v>0.30519519263483</v>
      </c>
      <c r="AE93" s="4" t="s">
        <v>456</v>
      </c>
    </row>
    <row r="94" customFormat="false" ht="15" hidden="false" customHeight="false" outlineLevel="0" collapsed="false">
      <c r="A94" s="4" t="s">
        <v>457</v>
      </c>
      <c r="B94" s="4" t="s">
        <v>458</v>
      </c>
      <c r="C94" s="4" t="s">
        <v>113</v>
      </c>
      <c r="D94" s="4" t="s">
        <v>153</v>
      </c>
      <c r="E94" s="4" t="s">
        <v>101</v>
      </c>
      <c r="F94" s="4" t="s">
        <v>102</v>
      </c>
      <c r="G94" s="4" t="s">
        <v>316</v>
      </c>
      <c r="H94" s="6" t="n">
        <v>5</v>
      </c>
      <c r="I94" s="19" t="n">
        <v>44665</v>
      </c>
      <c r="J94" s="9" t="n">
        <v>-0.0450056665565175</v>
      </c>
      <c r="K94" s="9" t="n">
        <v>-0.115859693574568</v>
      </c>
      <c r="L94" s="9" t="n">
        <v>0.18842494122915</v>
      </c>
      <c r="M94" s="6" t="n">
        <v>5</v>
      </c>
      <c r="N94" s="19" t="n">
        <v>3231</v>
      </c>
      <c r="O94" s="9" t="n">
        <v>0.0723385200940334</v>
      </c>
      <c r="P94" s="6" t="n">
        <v>5</v>
      </c>
      <c r="Q94" s="6" t="n">
        <v>5</v>
      </c>
      <c r="R94" s="9" t="n">
        <v>0.221113102711776</v>
      </c>
      <c r="S94" s="9" t="n">
        <v>0.19329411312339</v>
      </c>
      <c r="T94" s="19" t="n">
        <v>54249</v>
      </c>
      <c r="U94" s="20" t="n">
        <v>4.65416952642416</v>
      </c>
      <c r="V94" s="21" t="n">
        <v>2.65488958990536</v>
      </c>
      <c r="W94" s="9" t="n">
        <v>-0.112961149200131</v>
      </c>
      <c r="X94" s="9" t="n">
        <v>0.00338072316131199</v>
      </c>
      <c r="Y94" s="21" t="n">
        <v>35.4074279379157</v>
      </c>
      <c r="Z94" s="21" t="n">
        <v>16.9009393680615</v>
      </c>
      <c r="AA94" s="22" t="n">
        <f aca="false">IF(AND(ISNUMBER(Y94),ISNUMBER(Z94),Y94&gt;0,Z94&gt;0),Y94/Z94,"")</f>
        <v>2.09499763100901</v>
      </c>
      <c r="AB94" s="21" t="n">
        <v>19.4770450374455</v>
      </c>
      <c r="AC94" s="9" t="n">
        <v>0.0224081687771821</v>
      </c>
      <c r="AD94" s="9" t="n">
        <v>-0.0728485239001455</v>
      </c>
      <c r="AE94" s="4" t="s">
        <v>459</v>
      </c>
    </row>
    <row r="95" customFormat="false" ht="15" hidden="false" customHeight="false" outlineLevel="0" collapsed="false">
      <c r="A95" s="4" t="s">
        <v>460</v>
      </c>
      <c r="B95" s="4" t="s">
        <v>461</v>
      </c>
      <c r="C95" s="4" t="s">
        <v>148</v>
      </c>
      <c r="D95" s="4" t="s">
        <v>462</v>
      </c>
      <c r="E95" s="4" t="s">
        <v>101</v>
      </c>
      <c r="F95" s="4" t="s">
        <v>102</v>
      </c>
      <c r="G95" s="4" t="s">
        <v>103</v>
      </c>
      <c r="H95" s="6" t="n">
        <v>5</v>
      </c>
      <c r="I95" s="19" t="n">
        <v>199125</v>
      </c>
      <c r="J95" s="9" t="n">
        <v>0.083384536719928</v>
      </c>
      <c r="K95" s="9" t="n">
        <v>0.126208924834568</v>
      </c>
      <c r="L95" s="9" t="n">
        <v>0.0407382297551789</v>
      </c>
      <c r="M95" s="6" t="n">
        <v>5</v>
      </c>
      <c r="N95" s="19" t="n">
        <v>3174</v>
      </c>
      <c r="O95" s="9" t="n">
        <v>0.015939736346516</v>
      </c>
      <c r="P95" s="6" t="n">
        <v>5</v>
      </c>
      <c r="Q95" s="6" t="n">
        <v>5</v>
      </c>
      <c r="R95" s="9" t="n">
        <v>0.0945621956617973</v>
      </c>
      <c r="S95" s="9" t="n">
        <v>0.128605823831372</v>
      </c>
      <c r="T95" s="19" t="n">
        <v>23744</v>
      </c>
      <c r="U95" s="20" t="n">
        <v>2.45848001656658</v>
      </c>
      <c r="V95" s="21" t="n">
        <v>5.78601997146933</v>
      </c>
      <c r="W95" s="9" t="n">
        <v>-0.086490939044481</v>
      </c>
      <c r="X95" s="9" t="n">
        <v>0.00138606403013183</v>
      </c>
      <c r="Y95" s="21" t="n">
        <v>18.8731111111111</v>
      </c>
      <c r="Z95" s="21" t="n">
        <v>18.3580198019802</v>
      </c>
      <c r="AA95" s="22" t="n">
        <f aca="false">IF(AND(ISNUMBER(Y95),ISNUMBER(Z95),Y95&gt;0,Z95&gt;0),Y95/Z95,"")</f>
        <v>1.02805810837372</v>
      </c>
      <c r="AB95" s="21" t="n">
        <v>13.2750687421517</v>
      </c>
      <c r="AC95" s="9" t="n">
        <v>0.0682900643957708</v>
      </c>
      <c r="AD95" s="9" t="n">
        <v>-0.0102584217350911</v>
      </c>
      <c r="AE95" s="4" t="s">
        <v>463</v>
      </c>
    </row>
    <row r="96" customFormat="false" ht="15" hidden="false" customHeight="false" outlineLevel="0" collapsed="false">
      <c r="A96" s="4" t="s">
        <v>464</v>
      </c>
      <c r="B96" s="4" t="s">
        <v>465</v>
      </c>
      <c r="C96" s="4" t="s">
        <v>113</v>
      </c>
      <c r="D96" s="4" t="s">
        <v>114</v>
      </c>
      <c r="E96" s="4" t="s">
        <v>101</v>
      </c>
      <c r="F96" s="4" t="s">
        <v>102</v>
      </c>
      <c r="G96" s="4" t="s">
        <v>103</v>
      </c>
      <c r="H96" s="6" t="n">
        <v>5</v>
      </c>
      <c r="I96" s="19" t="n">
        <v>21193</v>
      </c>
      <c r="J96" s="9" t="n">
        <v>0.0611352883723044</v>
      </c>
      <c r="K96" s="9" t="n">
        <v>0.0360285490809542</v>
      </c>
      <c r="L96" s="9" t="n">
        <v>0.274524607181617</v>
      </c>
      <c r="M96" s="6" t="n">
        <v>5</v>
      </c>
      <c r="N96" s="19" t="n">
        <v>6062</v>
      </c>
      <c r="O96" s="9" t="n">
        <v>0.286037842683905</v>
      </c>
      <c r="P96" s="6" t="n">
        <v>5</v>
      </c>
      <c r="Q96" s="6" t="n">
        <v>5</v>
      </c>
      <c r="R96" s="9" t="n">
        <v>0.0850757982415548</v>
      </c>
      <c r="S96" s="9" t="n">
        <v>0.134747928444204</v>
      </c>
      <c r="T96" s="19" t="n">
        <v>28199</v>
      </c>
      <c r="U96" s="20" t="n">
        <v>3.16203184570532</v>
      </c>
      <c r="V96" s="21" t="n">
        <v>3.89685197588748</v>
      </c>
      <c r="W96" s="9" t="n">
        <v>-0.152647013427998</v>
      </c>
      <c r="X96" s="9" t="n">
        <v>0.0168451847308073</v>
      </c>
      <c r="Y96" s="21" t="n">
        <v>12.2456813819578</v>
      </c>
      <c r="Z96" s="21" t="n">
        <v>26.4621513944223</v>
      </c>
      <c r="AA96" s="22" t="n">
        <f aca="false">IF(AND(ISNUMBER(Y96),ISNUMBER(Z96),Y96&gt;0,Z96&gt;0),Y96/Z96,"")</f>
        <v>0.4627621238891</v>
      </c>
      <c r="AB96" s="21" t="n">
        <v>8.73265503417955</v>
      </c>
      <c r="AC96" s="9" t="n">
        <v>0.206877756381897</v>
      </c>
      <c r="AD96" s="9" t="n">
        <v>-0.0376441615155948</v>
      </c>
      <c r="AE96" s="4" t="s">
        <v>466</v>
      </c>
    </row>
    <row r="97" customFormat="false" ht="15" hidden="false" customHeight="false" outlineLevel="0" collapsed="false">
      <c r="A97" s="4" t="s">
        <v>467</v>
      </c>
      <c r="B97" s="4" t="s">
        <v>468</v>
      </c>
      <c r="C97" s="4" t="s">
        <v>113</v>
      </c>
      <c r="D97" s="4" t="s">
        <v>174</v>
      </c>
      <c r="E97" s="4" t="s">
        <v>101</v>
      </c>
      <c r="F97" s="4" t="s">
        <v>102</v>
      </c>
      <c r="G97" s="4" t="s">
        <v>103</v>
      </c>
      <c r="H97" s="6" t="n">
        <v>5</v>
      </c>
      <c r="I97" s="19" t="n">
        <v>37442</v>
      </c>
      <c r="J97" s="9" t="n">
        <v>0.0182371617394117</v>
      </c>
      <c r="K97" s="9" t="n">
        <v>0.0784918051674972</v>
      </c>
      <c r="L97" s="9" t="n">
        <v>0.17539127183377</v>
      </c>
      <c r="M97" s="6" t="n">
        <v>5</v>
      </c>
      <c r="N97" s="19" t="n">
        <v>5393</v>
      </c>
      <c r="O97" s="9" t="n">
        <v>0.144036109182202</v>
      </c>
      <c r="P97" s="6" t="n">
        <v>5</v>
      </c>
      <c r="Q97" s="6" t="n">
        <v>5</v>
      </c>
      <c r="R97" s="9" t="n">
        <v>0.139874090051227</v>
      </c>
      <c r="S97" s="9" t="n">
        <v>0.306282383419689</v>
      </c>
      <c r="T97" s="19" t="n">
        <v>21650</v>
      </c>
      <c r="U97" s="20" t="n">
        <v>2.63767056530214</v>
      </c>
      <c r="V97" s="21" t="n">
        <v>4.88616071428571</v>
      </c>
      <c r="W97" s="9" t="n">
        <v>-0.0589957546479286</v>
      </c>
      <c r="X97" s="9" t="n">
        <v>0</v>
      </c>
      <c r="Y97" s="21" t="n">
        <v>8.04213814513</v>
      </c>
      <c r="Z97" s="21" t="n">
        <v>12.8657927590512</v>
      </c>
      <c r="AA97" s="22" t="n">
        <f aca="false">IF(AND(ISNUMBER(Y97),ISNUMBER(Z97),Y97&gt;0,Z97&gt;0),Y97/Z97,"")</f>
        <v>0.625079098951931</v>
      </c>
      <c r="AB97" s="21" t="n">
        <v>6.98536536155501</v>
      </c>
      <c r="AC97" s="9" t="n">
        <v>0.0627088434124995</v>
      </c>
      <c r="AD97" s="9" t="n">
        <v>-0.461866647668394</v>
      </c>
      <c r="AE97" s="4" t="s">
        <v>469</v>
      </c>
    </row>
    <row r="98" customFormat="false" ht="15" hidden="false" customHeight="false" outlineLevel="0" collapsed="false">
      <c r="A98" s="4" t="s">
        <v>470</v>
      </c>
      <c r="B98" s="4" t="s">
        <v>471</v>
      </c>
      <c r="C98" s="4" t="s">
        <v>107</v>
      </c>
      <c r="D98" s="4" t="s">
        <v>472</v>
      </c>
      <c r="E98" s="4" t="s">
        <v>101</v>
      </c>
      <c r="F98" s="4" t="s">
        <v>102</v>
      </c>
      <c r="G98" s="4" t="s">
        <v>305</v>
      </c>
      <c r="H98" s="6" t="n">
        <v>5</v>
      </c>
      <c r="I98" s="19" t="n">
        <v>52853</v>
      </c>
      <c r="J98" s="9" t="n">
        <v>-0.0571288797823601</v>
      </c>
      <c r="K98" s="9" t="n">
        <v>-0.00467034519123932</v>
      </c>
      <c r="L98" s="9" t="n">
        <v>-0.0418897697387093</v>
      </c>
      <c r="M98" s="6" t="n">
        <v>3</v>
      </c>
      <c r="N98" s="19" t="n">
        <v>-4949</v>
      </c>
      <c r="O98" s="9" t="n">
        <v>-0.0936370688513424</v>
      </c>
      <c r="P98" s="6" t="n">
        <v>1</v>
      </c>
      <c r="Q98" s="6" t="n">
        <v>5</v>
      </c>
      <c r="R98" s="9" t="n">
        <v>0.00046220304935499</v>
      </c>
      <c r="S98" s="9" t="n">
        <v>-0.00211301044634378</v>
      </c>
      <c r="T98" s="19" t="n">
        <v>9169</v>
      </c>
      <c r="U98" s="20" t="n">
        <v>0.638776647624356</v>
      </c>
      <c r="V98" s="21" t="n">
        <v>-2.02933088909258</v>
      </c>
      <c r="W98" s="9" t="n">
        <v>0.17778316759641</v>
      </c>
      <c r="X98" s="9" t="n">
        <v>0.0460522581499631</v>
      </c>
      <c r="Y98" s="21" t="n">
        <v>-47.5308056872038</v>
      </c>
      <c r="Z98" s="21" t="n">
        <v>13.5538461538462</v>
      </c>
      <c r="AA98" s="22" t="str">
        <f aca="false">IF(AND(ISNUMBER(Y98),ISNUMBER(Z98),Y98&gt;0,Z98&gt;0),Y98/Z98,"")</f>
        <v/>
      </c>
      <c r="AB98" s="21" t="n">
        <v>148.115010188726</v>
      </c>
      <c r="AC98" s="9" t="n">
        <v>0.0055924818997334</v>
      </c>
      <c r="AD98" s="9" t="n">
        <v>0.196942990445197</v>
      </c>
      <c r="AE98" s="4" t="s">
        <v>473</v>
      </c>
    </row>
    <row r="99" customFormat="false" ht="15" hidden="false" customHeight="false" outlineLevel="0" collapsed="false">
      <c r="A99" s="4" t="s">
        <v>474</v>
      </c>
      <c r="B99" s="4" t="s">
        <v>475</v>
      </c>
      <c r="C99" s="4" t="s">
        <v>135</v>
      </c>
      <c r="D99" s="4" t="s">
        <v>476</v>
      </c>
      <c r="E99" s="4" t="s">
        <v>101</v>
      </c>
      <c r="F99" s="4" t="s">
        <v>137</v>
      </c>
      <c r="G99" s="4" t="s">
        <v>103</v>
      </c>
      <c r="H99" s="6" t="n">
        <v>5</v>
      </c>
      <c r="I99" s="19" t="n">
        <v>19207.544</v>
      </c>
      <c r="J99" s="9" t="n">
        <v>0.511242293711746</v>
      </c>
      <c r="K99" s="9" t="n">
        <v>-0.112417357846624</v>
      </c>
      <c r="L99" s="9" t="n">
        <v>0.025521118160656</v>
      </c>
      <c r="M99" s="6" t="n">
        <v>4</v>
      </c>
      <c r="N99" s="19" t="n">
        <v>316.995</v>
      </c>
      <c r="O99" s="9" t="n">
        <v>0.0165036716823348</v>
      </c>
      <c r="P99" s="6" t="n">
        <v>2</v>
      </c>
      <c r="Q99" s="6" t="n">
        <v>2</v>
      </c>
      <c r="R99" s="9" t="n">
        <v>0.00926819168142086</v>
      </c>
      <c r="S99" s="9" t="n">
        <v>0.0290384357166403</v>
      </c>
      <c r="T99" s="19" t="n">
        <v>54759.678</v>
      </c>
      <c r="U99" s="20" t="n">
        <v>5.38386335760969</v>
      </c>
      <c r="V99" s="21" t="n">
        <v>0.159574076756681</v>
      </c>
      <c r="W99" s="9" t="n">
        <v>0.275184339338003</v>
      </c>
      <c r="X99" s="9" t="n">
        <v>0.037595072019619</v>
      </c>
      <c r="Y99" s="21" t="n">
        <v>27.3913690476191</v>
      </c>
      <c r="Z99" s="21" t="n">
        <v>31.0827272850851</v>
      </c>
      <c r="AA99" s="22" t="n">
        <f aca="false">IF(AND(ISNUMBER(Y99),ISNUMBER(Z99),Y99&gt;0,Z99&gt;0),Y99/Z99,"")</f>
        <v>0.881240851112916</v>
      </c>
      <c r="AB99" s="21" t="n">
        <v>12.5958131036874</v>
      </c>
      <c r="AC99" s="9" t="n">
        <v>0.0283161258871956</v>
      </c>
      <c r="AD99" s="9" t="n">
        <v>-0.407558885300484</v>
      </c>
      <c r="AE99" s="4" t="s">
        <v>477</v>
      </c>
    </row>
    <row r="100" customFormat="false" ht="15" hidden="false" customHeight="false" outlineLevel="0" collapsed="false">
      <c r="A100" s="4" t="s">
        <v>31</v>
      </c>
      <c r="B100" s="4" t="s">
        <v>478</v>
      </c>
      <c r="C100" s="4" t="s">
        <v>99</v>
      </c>
      <c r="D100" s="4" t="s">
        <v>356</v>
      </c>
      <c r="E100" s="4" t="s">
        <v>101</v>
      </c>
      <c r="F100" s="4" t="s">
        <v>102</v>
      </c>
      <c r="G100" s="4" t="s">
        <v>340</v>
      </c>
      <c r="H100" s="6" t="n">
        <v>5</v>
      </c>
      <c r="I100" s="19" t="n">
        <v>86286</v>
      </c>
      <c r="J100" s="9" t="n">
        <v>-0.0384581863487833</v>
      </c>
      <c r="K100" s="9" t="n">
        <v>0.0312163874082749</v>
      </c>
      <c r="L100" s="9" t="n">
        <v>0.117666828917785</v>
      </c>
      <c r="M100" s="6" t="n">
        <v>5</v>
      </c>
      <c r="N100" s="19" t="n">
        <v>7651</v>
      </c>
      <c r="O100" s="9" t="n">
        <v>0.0886702361912709</v>
      </c>
      <c r="P100" s="6" t="n">
        <v>5</v>
      </c>
      <c r="Q100" s="6" t="n">
        <v>5</v>
      </c>
      <c r="R100" s="9" t="n">
        <v>0.240088302203065</v>
      </c>
      <c r="S100" s="9"/>
      <c r="T100" s="19" t="n">
        <v>43325</v>
      </c>
      <c r="U100" s="20" t="n">
        <v>3.47489573307668</v>
      </c>
      <c r="V100" s="21" t="n">
        <v>6.64898493778651</v>
      </c>
      <c r="W100" s="9" t="n">
        <v>-0.112519809825674</v>
      </c>
      <c r="X100" s="9" t="n">
        <v>0.00286257330273741</v>
      </c>
      <c r="Y100" s="21" t="n">
        <v>15.6731418918919</v>
      </c>
      <c r="Z100" s="21" t="n">
        <v>20.4166666666667</v>
      </c>
      <c r="AA100" s="22" t="n">
        <f aca="false">IF(AND(ISNUMBER(Y100),ISNUMBER(Z100),Y100&gt;0,Z100&gt;0),Y100/Z100,"")</f>
        <v>0.767664092664092</v>
      </c>
      <c r="AB100" s="21" t="n">
        <v>11.1476244629066</v>
      </c>
      <c r="AC100" s="9" t="n">
        <v>0.0672750910637819</v>
      </c>
      <c r="AD100" s="9" t="n">
        <v>0.0682535017036368</v>
      </c>
      <c r="AE100" s="4" t="s">
        <v>479</v>
      </c>
    </row>
    <row r="101" customFormat="false" ht="15" hidden="false" customHeight="false" outlineLevel="0" collapsed="false">
      <c r="A101" s="4" t="s">
        <v>480</v>
      </c>
      <c r="B101" s="4" t="s">
        <v>481</v>
      </c>
      <c r="C101" s="4" t="s">
        <v>206</v>
      </c>
      <c r="D101" s="4" t="s">
        <v>482</v>
      </c>
      <c r="E101" s="4" t="s">
        <v>101</v>
      </c>
      <c r="F101" s="4" t="s">
        <v>102</v>
      </c>
      <c r="G101" s="4" t="s">
        <v>103</v>
      </c>
      <c r="H101" s="6" t="n">
        <v>5</v>
      </c>
      <c r="I101" s="19" t="n">
        <v>38537</v>
      </c>
      <c r="J101" s="9" t="n">
        <v>0.0695657821516771</v>
      </c>
      <c r="K101" s="9" t="n">
        <v>0.0575176312395378</v>
      </c>
      <c r="L101" s="9" t="n">
        <v>0.0939356981602097</v>
      </c>
      <c r="M101" s="6" t="n">
        <v>5</v>
      </c>
      <c r="N101" s="19" t="n">
        <v>3235</v>
      </c>
      <c r="O101" s="9" t="n">
        <v>0.0839452993227288</v>
      </c>
      <c r="P101" s="6" t="n">
        <v>5</v>
      </c>
      <c r="Q101" s="6" t="n">
        <v>5</v>
      </c>
      <c r="R101" s="9" t="n">
        <v>0.0646640964158383</v>
      </c>
      <c r="S101" s="9" t="n">
        <v>0.094666100189255</v>
      </c>
      <c r="T101" s="19" t="n">
        <v>20278</v>
      </c>
      <c r="U101" s="20" t="n">
        <v>4.35711216158144</v>
      </c>
      <c r="V101" s="21" t="n">
        <v>6.04340567612688</v>
      </c>
      <c r="W101" s="9" t="n">
        <v>-0.0628158844765343</v>
      </c>
      <c r="X101" s="9" t="n">
        <v>0.00295819601940992</v>
      </c>
      <c r="Y101" s="21" t="n">
        <v>22.5680147058824</v>
      </c>
      <c r="Z101" s="21" t="n">
        <v>21.6699346405229</v>
      </c>
      <c r="AA101" s="22" t="n">
        <f aca="false">IF(AND(ISNUMBER(Y101),ISNUMBER(Z101),Y101&gt;0,Z101&gt;0),Y101/Z101,"")</f>
        <v>1.04144359825064</v>
      </c>
      <c r="AB101" s="21" t="n">
        <v>15.9717247463991</v>
      </c>
      <c r="AC101" s="9" t="n">
        <v>0.0393764670916657</v>
      </c>
      <c r="AD101" s="9" t="n">
        <v>0.0430506195863716</v>
      </c>
      <c r="AE101" s="4" t="s">
        <v>483</v>
      </c>
    </row>
    <row r="102" customFormat="false" ht="15" hidden="false" customHeight="false" outlineLevel="0" collapsed="false">
      <c r="A102" s="4" t="s">
        <v>484</v>
      </c>
      <c r="B102" s="4" t="s">
        <v>485</v>
      </c>
      <c r="C102" s="4" t="s">
        <v>107</v>
      </c>
      <c r="D102" s="4" t="s">
        <v>202</v>
      </c>
      <c r="E102" s="4" t="s">
        <v>101</v>
      </c>
      <c r="F102" s="4" t="s">
        <v>102</v>
      </c>
      <c r="G102" s="4" t="s">
        <v>165</v>
      </c>
      <c r="H102" s="6" t="n">
        <v>5</v>
      </c>
      <c r="I102" s="19" t="n">
        <v>8194.6</v>
      </c>
      <c r="J102" s="9" t="n">
        <v>0.114495876423557</v>
      </c>
      <c r="K102" s="9" t="n">
        <v>0.420872852114508</v>
      </c>
      <c r="L102" s="9" t="n">
        <v>0.163327069045469</v>
      </c>
      <c r="M102" s="6" t="n">
        <v>1</v>
      </c>
      <c r="N102" s="19" t="n">
        <v>1396.4</v>
      </c>
      <c r="O102" s="9" t="n">
        <v>0.170404900788324</v>
      </c>
      <c r="P102" s="6" t="n">
        <v>5</v>
      </c>
      <c r="Q102" s="6" t="n">
        <v>5</v>
      </c>
      <c r="R102" s="9" t="n">
        <v>0.0642370852799835</v>
      </c>
      <c r="S102" s="9" t="n">
        <v>0.186610662268318</v>
      </c>
      <c r="T102" s="19" t="n">
        <v>2151.5</v>
      </c>
      <c r="U102" s="20" t="n">
        <v>0.473919555927574</v>
      </c>
      <c r="V102" s="21" t="n">
        <v>6.60612043435341</v>
      </c>
      <c r="W102" s="9" t="n">
        <v>0.021494009866103</v>
      </c>
      <c r="X102" s="9" t="n">
        <v>0.0720962585117028</v>
      </c>
      <c r="Y102" s="21" t="n">
        <v>87.1929421796596</v>
      </c>
      <c r="Z102" s="21" t="n">
        <v>25.458064516129</v>
      </c>
      <c r="AA102" s="22" t="n">
        <f aca="false">IF(AND(ISNUMBER(Y102),ISNUMBER(Z102),Y102&gt;0,Z102&gt;0),Y102/Z102,"")</f>
        <v>3.42496351694051</v>
      </c>
      <c r="AB102" s="21" t="n">
        <v>49.2315104187689</v>
      </c>
      <c r="AC102" s="9" t="n">
        <v>0.00743070679852793</v>
      </c>
      <c r="AD102" s="9" t="n">
        <v>0.472263668757474</v>
      </c>
      <c r="AE102" s="4" t="s">
        <v>486</v>
      </c>
    </row>
    <row r="103" customFormat="false" ht="15" hidden="false" customHeight="false" outlineLevel="0" collapsed="false">
      <c r="A103" s="4" t="s">
        <v>487</v>
      </c>
      <c r="B103" s="4" t="s">
        <v>488</v>
      </c>
      <c r="C103" s="4" t="s">
        <v>107</v>
      </c>
      <c r="D103" s="4" t="s">
        <v>108</v>
      </c>
      <c r="E103" s="4" t="s">
        <v>101</v>
      </c>
      <c r="F103" s="4" t="s">
        <v>102</v>
      </c>
      <c r="G103" s="4" t="s">
        <v>103</v>
      </c>
      <c r="H103" s="6" t="n">
        <v>5</v>
      </c>
      <c r="I103" s="19" t="n">
        <v>477.233</v>
      </c>
      <c r="J103" s="9" t="n">
        <v>-0.0149308043758073</v>
      </c>
      <c r="K103" s="9" t="n">
        <v>0.0297266622937238</v>
      </c>
      <c r="L103" s="9" t="n">
        <v>-0.0857212305100444</v>
      </c>
      <c r="M103" s="6" t="n">
        <v>1</v>
      </c>
      <c r="N103" s="19" t="n">
        <v>-22579.536</v>
      </c>
      <c r="O103" s="9" t="n">
        <v>-47.3134422808146</v>
      </c>
      <c r="P103" s="6" t="n">
        <v>0</v>
      </c>
      <c r="Q103" s="6" t="n">
        <v>3</v>
      </c>
      <c r="R103" s="9" t="n">
        <v>-0.000566765097588382</v>
      </c>
      <c r="S103" s="9" t="n">
        <v>-0.0753904376884638</v>
      </c>
      <c r="T103" s="19" t="n">
        <v>5979.082</v>
      </c>
      <c r="U103" s="20" t="n">
        <v>99</v>
      </c>
      <c r="V103" s="21" t="n">
        <v>-0.62967922669622</v>
      </c>
      <c r="W103" s="9" t="n">
        <v>1.59692606660189</v>
      </c>
      <c r="X103" s="9" t="n">
        <v>0.111830070426815</v>
      </c>
      <c r="Y103" s="21" t="n">
        <v>-1.59124544033351</v>
      </c>
      <c r="Z103" s="21" t="n">
        <v>20.1146496815287</v>
      </c>
      <c r="AA103" s="22" t="str">
        <f aca="false">IF(AND(ISNUMBER(Y103),ISNUMBER(Z103),Y103&gt;0,Z103&gt;0),Y103/Z103,"")</f>
        <v/>
      </c>
      <c r="AB103" s="21" t="n">
        <v>-2.55345234128516</v>
      </c>
      <c r="AC103" s="9" t="n">
        <v>-0.430617050873831</v>
      </c>
      <c r="AD103" s="9" t="n">
        <v>0.0493358422405827</v>
      </c>
      <c r="AE103" s="4" t="s">
        <v>489</v>
      </c>
    </row>
    <row r="104" customFormat="false" ht="15" hidden="false" customHeight="false" outlineLevel="0" collapsed="false">
      <c r="A104" s="4" t="s">
        <v>490</v>
      </c>
      <c r="B104" s="4" t="s">
        <v>491</v>
      </c>
      <c r="C104" s="4" t="s">
        <v>347</v>
      </c>
      <c r="D104" s="4" t="s">
        <v>492</v>
      </c>
      <c r="E104" s="4" t="s">
        <v>101</v>
      </c>
      <c r="F104" s="4" t="s">
        <v>349</v>
      </c>
      <c r="G104" s="4" t="s">
        <v>103</v>
      </c>
      <c r="H104" s="6" t="n">
        <v>5</v>
      </c>
      <c r="I104" s="19" t="n">
        <v>27476</v>
      </c>
      <c r="J104" s="9" t="n">
        <v>0.0944981688531663</v>
      </c>
      <c r="K104" s="9" t="n">
        <v>0.110006867854402</v>
      </c>
      <c r="L104" s="9" t="n">
        <v>0.301353908865919</v>
      </c>
      <c r="M104" s="6" t="n">
        <v>5</v>
      </c>
      <c r="N104" s="19" t="n">
        <v>3211</v>
      </c>
      <c r="O104" s="9" t="n">
        <v>0.116865628184598</v>
      </c>
      <c r="P104" s="6" t="n">
        <v>3</v>
      </c>
      <c r="Q104" s="6" t="n">
        <v>5</v>
      </c>
      <c r="R104" s="9" t="n">
        <v>0.0410657559358638</v>
      </c>
      <c r="S104" s="9" t="n">
        <v>0.102799380255419</v>
      </c>
      <c r="T104" s="19" t="n">
        <v>92807</v>
      </c>
      <c r="U104" s="20" t="n">
        <v>5.78489060649504</v>
      </c>
      <c r="V104" s="21" t="n">
        <v>1.81062759676361</v>
      </c>
      <c r="W104" s="9" t="n">
        <v>0.0557970282017588</v>
      </c>
      <c r="X104" s="9" t="n">
        <v>0</v>
      </c>
      <c r="Y104" s="21" t="n">
        <v>17.5637583892618</v>
      </c>
      <c r="Z104" s="21" t="n">
        <v>24.2537764350453</v>
      </c>
      <c r="AA104" s="22" t="n">
        <f aca="false">IF(AND(ISNUMBER(Y104),ISNUMBER(Z104),Y104&gt;0,Z104&gt;0),Y104/Z104,"")</f>
        <v>0.724165922626512</v>
      </c>
      <c r="AB104" s="21" t="n">
        <v>15.4017241228838</v>
      </c>
      <c r="AC104" s="9" t="n">
        <v>0.0186114504811663</v>
      </c>
      <c r="AD104" s="9" t="n">
        <v>0.121410801681468</v>
      </c>
      <c r="AE104" s="4" t="s">
        <v>493</v>
      </c>
    </row>
    <row r="105" customFormat="false" ht="15" hidden="false" customHeight="false" outlineLevel="0" collapsed="false">
      <c r="A105" s="4" t="s">
        <v>494</v>
      </c>
      <c r="B105" s="4" t="s">
        <v>495</v>
      </c>
      <c r="C105" s="4"/>
      <c r="D105" s="4"/>
      <c r="E105" s="4" t="s">
        <v>101</v>
      </c>
      <c r="F105" s="4" t="s">
        <v>102</v>
      </c>
      <c r="G105" s="4" t="s">
        <v>496</v>
      </c>
      <c r="H105" s="6" t="n">
        <v>5</v>
      </c>
      <c r="I105" s="19" t="n">
        <v>67358</v>
      </c>
      <c r="J105" s="9" t="n">
        <v>0.104772795362143</v>
      </c>
      <c r="K105" s="9" t="n">
        <v>0.173504764891374</v>
      </c>
      <c r="L105" s="9" t="n">
        <v>0.308471154131655</v>
      </c>
      <c r="M105" s="6" t="n">
        <v>5</v>
      </c>
      <c r="N105" s="19" t="n">
        <v>-23686</v>
      </c>
      <c r="O105" s="9" t="n">
        <v>-0.351643457347308</v>
      </c>
      <c r="P105" s="6" t="n">
        <v>3</v>
      </c>
      <c r="Q105" s="6" t="n">
        <v>5</v>
      </c>
      <c r="R105" s="9" t="n">
        <v>0.0980849830595575</v>
      </c>
      <c r="S105" s="9" t="n">
        <v>0.396855258268302</v>
      </c>
      <c r="T105" s="19" t="n">
        <v>124295</v>
      </c>
      <c r="U105" s="20" t="n">
        <v>3.71162804586718</v>
      </c>
      <c r="V105" s="21" t="n">
        <v>4.51892127011744</v>
      </c>
      <c r="W105" s="9" t="n">
        <v>0.0538684020245843</v>
      </c>
      <c r="X105" s="9" t="n">
        <v>0.0714243297010006</v>
      </c>
      <c r="Y105" s="21" t="n">
        <v>21.5663580246914</v>
      </c>
      <c r="Z105" s="21" t="n">
        <v>33.631746031746</v>
      </c>
      <c r="AA105" s="22" t="n">
        <f aca="false">IF(AND(ISNUMBER(Y105),ISNUMBER(Z105),Y105&gt;0,Z105&gt;0),Y105/Z105,"")</f>
        <v>0.641250026220293</v>
      </c>
      <c r="AB105" s="21" t="n">
        <v>13.8473797131419</v>
      </c>
      <c r="AC105" s="9" t="n">
        <v>-0.0713102208303385</v>
      </c>
      <c r="AD105" s="9" t="n">
        <v>0.342656261468571</v>
      </c>
      <c r="AE105" s="4" t="s">
        <v>497</v>
      </c>
    </row>
    <row r="106" customFormat="false" ht="15" hidden="false" customHeight="false" outlineLevel="0" collapsed="false">
      <c r="A106" s="4" t="s">
        <v>498</v>
      </c>
      <c r="B106" s="4" t="s">
        <v>499</v>
      </c>
      <c r="C106" s="4" t="s">
        <v>107</v>
      </c>
      <c r="D106" s="4" t="s">
        <v>108</v>
      </c>
      <c r="E106" s="4" t="s">
        <v>101</v>
      </c>
      <c r="F106" s="4" t="s">
        <v>102</v>
      </c>
      <c r="G106" s="4" t="s">
        <v>187</v>
      </c>
      <c r="H106" s="6" t="n">
        <v>5</v>
      </c>
      <c r="I106" s="19" t="n">
        <v>11480</v>
      </c>
      <c r="J106" s="9" t="n">
        <v>0.18536155384758</v>
      </c>
      <c r="K106" s="9" t="n">
        <v>0.244916770590468</v>
      </c>
      <c r="L106" s="9" t="n">
        <v>0.0605400696864112</v>
      </c>
      <c r="M106" s="6" t="n">
        <v>4</v>
      </c>
      <c r="N106" s="19" t="n">
        <v>4113</v>
      </c>
      <c r="O106" s="9" t="n">
        <v>0.358275261324042</v>
      </c>
      <c r="P106" s="6" t="n">
        <v>5</v>
      </c>
      <c r="Q106" s="6" t="n">
        <v>5</v>
      </c>
      <c r="R106" s="9" t="n">
        <v>0.0203948590319825</v>
      </c>
      <c r="S106" s="9" t="n">
        <v>0.0111668849119744</v>
      </c>
      <c r="T106" s="19" t="n">
        <v>-571</v>
      </c>
      <c r="U106" s="20" t="n">
        <v>-0.410496046010065</v>
      </c>
      <c r="V106" s="21" t="n">
        <v>999</v>
      </c>
      <c r="W106" s="9" t="n">
        <v>0.115980134385042</v>
      </c>
      <c r="X106" s="9" t="n">
        <v>0.154529616724739</v>
      </c>
      <c r="Y106" s="21" t="n">
        <v>879.195652173913</v>
      </c>
      <c r="Z106" s="21" t="n">
        <v>136.362973644156</v>
      </c>
      <c r="AA106" s="22" t="n">
        <f aca="false">IF(AND(ISNUMBER(Y106),ISNUMBER(Z106),Y106&gt;0,Z106&gt;0),Y106/Z106,"")</f>
        <v>6.44746611692558</v>
      </c>
      <c r="AB106" s="21" t="n">
        <v>213.706136363636</v>
      </c>
      <c r="AC106" s="9" t="n">
        <v>0.0124969065370853</v>
      </c>
      <c r="AD106" s="9" t="n">
        <v>0.234214718379791</v>
      </c>
      <c r="AE106" s="4" t="s">
        <v>500</v>
      </c>
    </row>
    <row r="107" customFormat="false" ht="15" hidden="false" customHeight="false" outlineLevel="0" collapsed="false">
      <c r="A107" s="4" t="s">
        <v>501</v>
      </c>
      <c r="B107" s="4" t="s">
        <v>502</v>
      </c>
      <c r="C107" s="4"/>
      <c r="D107" s="4"/>
      <c r="E107" s="4" t="s">
        <v>101</v>
      </c>
      <c r="F107" s="4" t="s">
        <v>349</v>
      </c>
      <c r="G107" s="4" t="s">
        <v>103</v>
      </c>
      <c r="H107" s="6" t="n">
        <v>5</v>
      </c>
      <c r="I107" s="19" t="n">
        <v>8790.127</v>
      </c>
      <c r="J107" s="9" t="n">
        <v>0.137411044373959</v>
      </c>
      <c r="K107" s="9" t="n">
        <v>0.0717562771211995</v>
      </c>
      <c r="L107" s="9" t="n">
        <v>0.402277805542514</v>
      </c>
      <c r="M107" s="6" t="n">
        <v>5</v>
      </c>
      <c r="N107" s="19" t="n">
        <v>5008.434</v>
      </c>
      <c r="O107" s="9" t="n">
        <v>0.56977948100181</v>
      </c>
      <c r="P107" s="6" t="n">
        <v>5</v>
      </c>
      <c r="Q107" s="6" t="n">
        <v>5</v>
      </c>
      <c r="R107" s="9" t="n">
        <v>0.0338133710507043</v>
      </c>
      <c r="S107" s="9" t="n">
        <v>0.0590550009966408</v>
      </c>
      <c r="T107" s="19" t="n">
        <v>33891.426</v>
      </c>
      <c r="U107" s="20" t="n">
        <v>4.7077617014349</v>
      </c>
      <c r="V107" s="21" t="n">
        <v>3.52692767653475</v>
      </c>
      <c r="W107" s="9" t="n">
        <v>0.147543909453634</v>
      </c>
      <c r="X107" s="9" t="n">
        <v>0.0210993538546144</v>
      </c>
      <c r="Y107" s="21" t="n">
        <v>29.6222222222222</v>
      </c>
      <c r="Z107" s="21" t="n">
        <v>35.7591036414566</v>
      </c>
      <c r="AA107" s="22" t="n">
        <f aca="false">IF(AND(ISNUMBER(Y107),ISNUMBER(Z107),Y107&gt;0,Z107&gt;0),Y107/Z107,"")</f>
        <v>0.828382683168834</v>
      </c>
      <c r="AB107" s="21" t="n">
        <v>18.9471918533176</v>
      </c>
      <c r="AC107" s="9" t="n">
        <v>0.0424011399632166</v>
      </c>
      <c r="AD107" s="9" t="n">
        <v>-0.0278248823936218</v>
      </c>
      <c r="AE107" s="4" t="s">
        <v>503</v>
      </c>
    </row>
    <row r="108" customFormat="false" ht="15" hidden="false" customHeight="false" outlineLevel="0" collapsed="false">
      <c r="A108" s="4" t="s">
        <v>504</v>
      </c>
      <c r="B108" s="4" t="s">
        <v>505</v>
      </c>
      <c r="C108" s="4" t="s">
        <v>107</v>
      </c>
      <c r="D108" s="4" t="s">
        <v>472</v>
      </c>
      <c r="E108" s="4" t="s">
        <v>101</v>
      </c>
      <c r="F108" s="4" t="s">
        <v>102</v>
      </c>
      <c r="G108" s="4" t="s">
        <v>103</v>
      </c>
      <c r="H108" s="6" t="n">
        <v>5</v>
      </c>
      <c r="I108" s="19" t="n">
        <v>4475.446</v>
      </c>
      <c r="J108" s="9" t="n">
        <v>0.329171252876578</v>
      </c>
      <c r="K108" s="9" t="n">
        <v>0.561833909322155</v>
      </c>
      <c r="L108" s="9" t="n">
        <v>0.315949516539804</v>
      </c>
      <c r="M108" s="6" t="n">
        <v>3</v>
      </c>
      <c r="N108" s="19" t="n">
        <v>2100.591</v>
      </c>
      <c r="O108" s="9" t="n">
        <v>0.469359031479768</v>
      </c>
      <c r="P108" s="6" t="n">
        <v>5</v>
      </c>
      <c r="Q108" s="6" t="n">
        <v>5</v>
      </c>
      <c r="R108" s="9" t="n">
        <v>2.0674800020729</v>
      </c>
      <c r="S108" s="9" t="n">
        <v>0.217017977137053</v>
      </c>
      <c r="T108" s="19" t="n">
        <v>-6947.705</v>
      </c>
      <c r="U108" s="20" t="n">
        <v>-4.12690902891751</v>
      </c>
      <c r="V108" s="21" t="n">
        <v>999</v>
      </c>
      <c r="W108" s="9" t="n">
        <v>0.242952660465463</v>
      </c>
      <c r="X108" s="9" t="n">
        <v>0.15284130341423</v>
      </c>
      <c r="Y108" s="21" t="n">
        <v>165.611111111111</v>
      </c>
      <c r="Z108" s="21" t="n">
        <v>257.608695652174</v>
      </c>
      <c r="AA108" s="22" t="n">
        <f aca="false">IF(AND(ISNUMBER(Y108),ISNUMBER(Z108),Y108&gt;0,Z108&gt;0),Y108/Z108,"")</f>
        <v>0.642878574777309</v>
      </c>
      <c r="AB108" s="21" t="n">
        <v>153.978012733692</v>
      </c>
      <c r="AC108" s="9" t="n">
        <v>0.00701132394948956</v>
      </c>
      <c r="AD108" s="9" t="n">
        <v>0.834200695528446</v>
      </c>
      <c r="AE108" s="4" t="s">
        <v>506</v>
      </c>
    </row>
    <row r="109" customFormat="false" ht="15" hidden="false" customHeight="false" outlineLevel="0" collapsed="false">
      <c r="A109" s="4" t="s">
        <v>507</v>
      </c>
      <c r="B109" s="4" t="s">
        <v>508</v>
      </c>
      <c r="C109" s="4" t="s">
        <v>206</v>
      </c>
      <c r="D109" s="4" t="s">
        <v>509</v>
      </c>
      <c r="E109" s="4" t="s">
        <v>101</v>
      </c>
      <c r="F109" s="4" t="s">
        <v>102</v>
      </c>
      <c r="G109" s="4" t="s">
        <v>103</v>
      </c>
      <c r="H109" s="6" t="n">
        <v>5</v>
      </c>
      <c r="I109" s="19" t="n">
        <v>4890.551</v>
      </c>
      <c r="J109" s="9" t="n">
        <v>0.300187168640571</v>
      </c>
      <c r="K109" s="9" t="n">
        <v>0.357740009033923</v>
      </c>
      <c r="L109" s="9" t="n">
        <v>-0.251984285615261</v>
      </c>
      <c r="M109" s="6" t="n">
        <v>0</v>
      </c>
      <c r="N109" s="19" t="n">
        <v>1352.88</v>
      </c>
      <c r="O109" s="9" t="n">
        <v>0.276631406154439</v>
      </c>
      <c r="P109" s="6" t="n">
        <v>4</v>
      </c>
      <c r="Q109" s="6" t="n">
        <v>5</v>
      </c>
      <c r="R109" s="9" t="n">
        <v>-0.268805156285649</v>
      </c>
      <c r="S109" s="9" t="n">
        <v>-2.84030348285242</v>
      </c>
      <c r="T109" s="19" t="n">
        <v>-1252.438</v>
      </c>
      <c r="U109" s="20" t="n">
        <v>-1</v>
      </c>
      <c r="V109" s="21" t="n">
        <v>-30.7854609043218</v>
      </c>
      <c r="W109" s="9" t="n">
        <v>0.157923900066996</v>
      </c>
      <c r="X109" s="9" t="n">
        <v>0.230854151198914</v>
      </c>
      <c r="Y109" s="21" t="n">
        <v>-34.7832167832168</v>
      </c>
      <c r="Z109" s="21"/>
      <c r="AA109" s="22" t="str">
        <f aca="false">IF(AND(ISNUMBER(Y109),ISNUMBER(Z109),Y109&gt;0,Z109&gt;0),Y109/Z109,"")</f>
        <v/>
      </c>
      <c r="AB109" s="21" t="n">
        <v>-50.5351150589631</v>
      </c>
      <c r="AC109" s="9" t="n">
        <v>0.0461508288278268</v>
      </c>
      <c r="AD109" s="9" t="n">
        <v>0.425320513782598</v>
      </c>
      <c r="AE109" s="4" t="s">
        <v>510</v>
      </c>
    </row>
    <row r="110" customFormat="false" ht="15" hidden="false" customHeight="false" outlineLevel="0" collapsed="false">
      <c r="A110" s="4" t="s">
        <v>511</v>
      </c>
      <c r="B110" s="4" t="s">
        <v>512</v>
      </c>
      <c r="C110" s="4" t="s">
        <v>99</v>
      </c>
      <c r="D110" s="4" t="s">
        <v>375</v>
      </c>
      <c r="E110" s="4" t="s">
        <v>101</v>
      </c>
      <c r="F110" s="4" t="s">
        <v>102</v>
      </c>
      <c r="G110" s="4" t="s">
        <v>390</v>
      </c>
      <c r="H110" s="6" t="n">
        <v>5</v>
      </c>
      <c r="I110" s="19" t="n">
        <v>37184.4</v>
      </c>
      <c r="J110" s="9" t="n">
        <v>0.0485979550549827</v>
      </c>
      <c r="K110" s="9" t="n">
        <v>0.0278691515416214</v>
      </c>
      <c r="L110" s="9" t="n">
        <v>0.0962984477361474</v>
      </c>
      <c r="M110" s="6" t="n">
        <v>5</v>
      </c>
      <c r="N110" s="19" t="n">
        <v>2442</v>
      </c>
      <c r="O110" s="9" t="n">
        <v>0.0656727014554491</v>
      </c>
      <c r="P110" s="6" t="n">
        <v>5</v>
      </c>
      <c r="Q110" s="6" t="n">
        <v>5</v>
      </c>
      <c r="R110" s="9" t="n">
        <v>0.187896089749125</v>
      </c>
      <c r="S110" s="9"/>
      <c r="T110" s="19" t="n">
        <v>23144.5</v>
      </c>
      <c r="U110" s="20" t="n">
        <v>4.2345762587822</v>
      </c>
      <c r="V110" s="21" t="n">
        <v>6.59933652782897</v>
      </c>
      <c r="W110" s="9" t="n">
        <v>-0.0161415623651273</v>
      </c>
      <c r="X110" s="9" t="n">
        <v>0.00856004130764514</v>
      </c>
      <c r="Y110" s="21" t="n">
        <v>53.0373563218391</v>
      </c>
      <c r="Z110" s="21" t="n">
        <v>29.5649122807018</v>
      </c>
      <c r="AA110" s="22" t="n">
        <f aca="false">IF(AND(ISNUMBER(Y110),ISNUMBER(Z110),Y110&gt;0,Z110&gt;0),Y110/Z110,"")</f>
        <v>1.79392909467412</v>
      </c>
      <c r="AB110" s="21" t="n">
        <v>20.954543920629</v>
      </c>
      <c r="AC110" s="9" t="n">
        <v>0.0346191099463998</v>
      </c>
      <c r="AD110" s="9" t="n">
        <v>0.0355038289443961</v>
      </c>
      <c r="AE110" s="4" t="s">
        <v>513</v>
      </c>
    </row>
    <row r="111" customFormat="false" ht="15" hidden="false" customHeight="false" outlineLevel="0" collapsed="false">
      <c r="A111" s="4" t="s">
        <v>514</v>
      </c>
      <c r="B111" s="4" t="s">
        <v>515</v>
      </c>
      <c r="C111" s="4" t="s">
        <v>107</v>
      </c>
      <c r="D111" s="4" t="s">
        <v>297</v>
      </c>
      <c r="E111" s="4" t="s">
        <v>101</v>
      </c>
      <c r="F111" s="4" t="s">
        <v>102</v>
      </c>
      <c r="G111" s="4" t="s">
        <v>115</v>
      </c>
      <c r="H111" s="6" t="n">
        <v>5</v>
      </c>
      <c r="I111" s="19" t="n">
        <v>39063.072</v>
      </c>
      <c r="J111" s="9" t="n">
        <v>0.763429172022215</v>
      </c>
      <c r="K111" s="9" t="n">
        <v>0.777853510383787</v>
      </c>
      <c r="L111" s="9" t="n">
        <v>0.0709234030544244</v>
      </c>
      <c r="M111" s="6" t="n">
        <v>5</v>
      </c>
      <c r="N111" s="19" t="n">
        <v>-6971.885</v>
      </c>
      <c r="O111" s="9" t="n">
        <v>-0.178477642516185</v>
      </c>
      <c r="P111" s="6" t="n">
        <v>2</v>
      </c>
      <c r="Q111" s="6" t="n">
        <v>2</v>
      </c>
      <c r="R111" s="9" t="n">
        <v>0.139598421500011</v>
      </c>
      <c r="S111" s="9" t="n">
        <v>0.15404089445466</v>
      </c>
      <c r="T111" s="19" t="n">
        <v>1198.813</v>
      </c>
      <c r="U111" s="20" t="n">
        <v>0.389971390046859</v>
      </c>
      <c r="V111" s="21" t="n">
        <v>14.2387266541265</v>
      </c>
      <c r="W111" s="9" t="n">
        <v>0.158096819729303</v>
      </c>
      <c r="X111" s="9" t="n">
        <v>0.0105499895143935</v>
      </c>
      <c r="Y111" s="21" t="n">
        <v>10.6155342465753</v>
      </c>
      <c r="Z111" s="21" t="n">
        <v>11.4884792626728</v>
      </c>
      <c r="AA111" s="22" t="n">
        <f aca="false">IF(AND(ISNUMBER(Y111),ISNUMBER(Z111),Y111&gt;0,Z111&gt;0),Y111/Z111,"")</f>
        <v>0.924015616328459</v>
      </c>
      <c r="AB111" s="21" t="n">
        <v>7.87976762960276</v>
      </c>
      <c r="AC111" s="9" t="n">
        <v>-0.27816114816247</v>
      </c>
      <c r="AD111" s="9" t="n">
        <v>0.71849363188845</v>
      </c>
      <c r="AE111" s="4" t="s">
        <v>516</v>
      </c>
    </row>
    <row r="112" customFormat="false" ht="15" hidden="false" customHeight="false" outlineLevel="0" collapsed="false">
      <c r="A112" s="4" t="s">
        <v>517</v>
      </c>
      <c r="B112" s="4" t="s">
        <v>518</v>
      </c>
      <c r="C112" s="4" t="s">
        <v>107</v>
      </c>
      <c r="D112" s="4" t="s">
        <v>248</v>
      </c>
      <c r="E112" s="4" t="s">
        <v>101</v>
      </c>
      <c r="F112" s="4" t="s">
        <v>102</v>
      </c>
      <c r="G112" s="4" t="s">
        <v>165</v>
      </c>
      <c r="H112" s="6" t="n">
        <v>5</v>
      </c>
      <c r="I112" s="19" t="n">
        <v>4683.946</v>
      </c>
      <c r="J112" s="9" t="n">
        <v>0.313765188615279</v>
      </c>
      <c r="K112" s="9" t="n">
        <v>0.291625625000689</v>
      </c>
      <c r="L112" s="9" t="n">
        <v>-0.306400842366671</v>
      </c>
      <c r="M112" s="6" t="n">
        <v>0</v>
      </c>
      <c r="N112" s="19" t="n">
        <v>1120.314</v>
      </c>
      <c r="O112" s="9" t="n">
        <v>0.23918166434882</v>
      </c>
      <c r="P112" s="6" t="n">
        <v>5</v>
      </c>
      <c r="Q112" s="6" t="n">
        <v>5</v>
      </c>
      <c r="R112" s="9" t="n">
        <v>-0.245938177049206</v>
      </c>
      <c r="S112" s="9" t="n">
        <v>-0.692071418251215</v>
      </c>
      <c r="T112" s="19" t="n">
        <v>-1288.572</v>
      </c>
      <c r="U112" s="20" t="n">
        <v>-1</v>
      </c>
      <c r="V112" s="21" t="n">
        <v>-172.953121234032</v>
      </c>
      <c r="W112" s="9" t="n">
        <v>0.0588680074043861</v>
      </c>
      <c r="X112" s="9" t="n">
        <v>0.341495610752131</v>
      </c>
      <c r="Y112" s="21" t="n">
        <v>-112.735849056604</v>
      </c>
      <c r="Z112" s="21"/>
      <c r="AA112" s="22" t="str">
        <f aca="false">IF(AND(ISNUMBER(Y112),ISNUMBER(Z112),Y112&gt;0,Z112&gt;0),Y112/Z112,"")</f>
        <v/>
      </c>
      <c r="AB112" s="21" t="n">
        <v>-155.539637013642</v>
      </c>
      <c r="AC112" s="9" t="n">
        <v>0.00952695993029554</v>
      </c>
      <c r="AD112" s="9" t="n">
        <v>0.349436070996549</v>
      </c>
      <c r="AE112" s="4" t="s">
        <v>519</v>
      </c>
    </row>
    <row r="113" customFormat="false" ht="15" hidden="false" customHeight="false" outlineLevel="0" collapsed="false">
      <c r="A113" s="4" t="s">
        <v>520</v>
      </c>
      <c r="B113" s="4" t="s">
        <v>521</v>
      </c>
      <c r="C113" s="4" t="s">
        <v>347</v>
      </c>
      <c r="D113" s="4" t="s">
        <v>492</v>
      </c>
      <c r="E113" s="4" t="s">
        <v>101</v>
      </c>
      <c r="F113" s="4" t="s">
        <v>349</v>
      </c>
      <c r="G113" s="4" t="s">
        <v>103</v>
      </c>
      <c r="H113" s="6" t="n">
        <v>5</v>
      </c>
      <c r="I113" s="19" t="n">
        <v>29553</v>
      </c>
      <c r="J113" s="9" t="n">
        <v>0.00310973390069536</v>
      </c>
      <c r="K113" s="9" t="n">
        <v>0.105859901212393</v>
      </c>
      <c r="L113" s="9" t="n">
        <v>0.2460325516868</v>
      </c>
      <c r="M113" s="6" t="n">
        <v>5</v>
      </c>
      <c r="N113" s="19" t="n">
        <v>-2935</v>
      </c>
      <c r="O113" s="9" t="n">
        <v>-0.0993130985009982</v>
      </c>
      <c r="P113" s="6" t="n">
        <v>1</v>
      </c>
      <c r="Q113" s="6" t="n">
        <v>5</v>
      </c>
      <c r="R113" s="9" t="n">
        <v>0.0516076835305428</v>
      </c>
      <c r="S113" s="9" t="n">
        <v>0.11168857900018</v>
      </c>
      <c r="T113" s="19" t="n">
        <v>72436</v>
      </c>
      <c r="U113" s="20" t="n">
        <v>5.0534393749128</v>
      </c>
      <c r="V113" s="21" t="n">
        <v>2.2</v>
      </c>
      <c r="W113" s="9" t="n">
        <v>0.0259190254786852</v>
      </c>
      <c r="X113" s="9" t="n">
        <v>0.00460190166818936</v>
      </c>
      <c r="Y113" s="21" t="n">
        <v>20.7482014388489</v>
      </c>
      <c r="Z113" s="21" t="n">
        <v>21.7713414634146</v>
      </c>
      <c r="AA113" s="22" t="n">
        <f aca="false">IF(AND(ISNUMBER(Y113),ISNUMBER(Z113),Y113&gt;0,Z113&gt;0),Y113/Z113,"")</f>
        <v>0.953005191421712</v>
      </c>
      <c r="AB113" s="21" t="n">
        <v>12.0479946445825</v>
      </c>
      <c r="AC113" s="9" t="n">
        <v>0.0256090121682958</v>
      </c>
      <c r="AD113" s="9" t="n">
        <v>0.0351603469698507</v>
      </c>
      <c r="AE113" s="4" t="s">
        <v>522</v>
      </c>
    </row>
    <row r="114" customFormat="false" ht="15" hidden="false" customHeight="false" outlineLevel="0" collapsed="false">
      <c r="A114" s="4" t="s">
        <v>523</v>
      </c>
      <c r="B114" s="4" t="s">
        <v>524</v>
      </c>
      <c r="C114" s="4" t="s">
        <v>135</v>
      </c>
      <c r="D114" s="4" t="s">
        <v>525</v>
      </c>
      <c r="E114" s="4" t="s">
        <v>101</v>
      </c>
      <c r="F114" s="4" t="s">
        <v>137</v>
      </c>
      <c r="G114" s="4" t="s">
        <v>103</v>
      </c>
      <c r="H114" s="6" t="n">
        <v>5</v>
      </c>
      <c r="I114" s="19" t="n">
        <v>4769.597</v>
      </c>
      <c r="J114" s="9" t="n">
        <v>0.393452150063938</v>
      </c>
      <c r="K114" s="9" t="n">
        <v>0.287800127332884</v>
      </c>
      <c r="L114" s="9" t="n">
        <v>0.110251872432828</v>
      </c>
      <c r="M114" s="6" t="n">
        <v>2</v>
      </c>
      <c r="N114" s="19" t="n">
        <v>-3984.902</v>
      </c>
      <c r="O114" s="9" t="n">
        <v>-0.835479810977741</v>
      </c>
      <c r="P114" s="6" t="n">
        <v>0</v>
      </c>
      <c r="Q114" s="6" t="n">
        <v>0</v>
      </c>
      <c r="R114" s="9" t="n">
        <v>0.0820404080978133</v>
      </c>
      <c r="S114" s="9" t="n">
        <v>0.0458859077581905</v>
      </c>
      <c r="T114" s="19" t="n">
        <v>-5425.807</v>
      </c>
      <c r="U114" s="20" t="n">
        <v>-7.13914458795171</v>
      </c>
      <c r="V114" s="21" t="n">
        <v>0.454797996614898</v>
      </c>
      <c r="W114" s="9" t="n">
        <v>0.3894841777853</v>
      </c>
      <c r="X114" s="9" t="n">
        <v>0.0549434260378812</v>
      </c>
      <c r="Y114" s="21" t="n">
        <v>29.7058823529412</v>
      </c>
      <c r="Z114" s="21" t="n">
        <v>47.9057971014493</v>
      </c>
      <c r="AA114" s="22" t="n">
        <f aca="false">IF(AND(ISNUMBER(Y114),ISNUMBER(Z114),Y114&gt;0,Z114&gt;0),Y114/Z114,"")</f>
        <v>0.620089512132186</v>
      </c>
      <c r="AB114" s="21" t="n">
        <v>19.7015160616179</v>
      </c>
      <c r="AC114" s="9" t="n">
        <v>-0.256494619011459</v>
      </c>
      <c r="AD114" s="9" t="n">
        <v>0.0179011184802407</v>
      </c>
      <c r="AE114" s="4" t="s">
        <v>526</v>
      </c>
    </row>
    <row r="115" customFormat="false" ht="15" hidden="false" customHeight="false" outlineLevel="0" collapsed="false">
      <c r="A115" s="4" t="s">
        <v>527</v>
      </c>
      <c r="B115" s="4" t="s">
        <v>528</v>
      </c>
      <c r="C115" s="4" t="s">
        <v>444</v>
      </c>
      <c r="D115" s="4" t="s">
        <v>529</v>
      </c>
      <c r="E115" s="4" t="s">
        <v>101</v>
      </c>
      <c r="F115" s="4" t="s">
        <v>102</v>
      </c>
      <c r="G115" s="4" t="s">
        <v>103</v>
      </c>
      <c r="H115" s="6" t="n">
        <v>5</v>
      </c>
      <c r="I115" s="19" t="n">
        <v>125648</v>
      </c>
      <c r="J115" s="9" t="n">
        <v>0.0133674193286915</v>
      </c>
      <c r="K115" s="9" t="n">
        <v>0.0270729793356004</v>
      </c>
      <c r="L115" s="9" t="n">
        <v>0.198968547052082</v>
      </c>
      <c r="M115" s="6" t="n">
        <v>4</v>
      </c>
      <c r="N115" s="19" t="n">
        <v>19442</v>
      </c>
      <c r="O115" s="9" t="n">
        <v>0.154733859671463</v>
      </c>
      <c r="P115" s="6" t="n">
        <v>5</v>
      </c>
      <c r="Q115" s="6" t="n">
        <v>5</v>
      </c>
      <c r="R115" s="9" t="n">
        <v>0.0694825572395548</v>
      </c>
      <c r="S115" s="9" t="n">
        <v>0.170353018086729</v>
      </c>
      <c r="T115" s="19" t="n">
        <v>155752</v>
      </c>
      <c r="U115" s="20" t="n">
        <v>2.84754191271916</v>
      </c>
      <c r="V115" s="21" t="n">
        <v>3.67430922986479</v>
      </c>
      <c r="W115" s="9" t="n">
        <v>-0.0537761961249506</v>
      </c>
      <c r="X115" s="9" t="n">
        <v>0</v>
      </c>
      <c r="Y115" s="21" t="n">
        <v>7.54914191419142</v>
      </c>
      <c r="Z115" s="21" t="n">
        <v>8.34440956452044</v>
      </c>
      <c r="AA115" s="22" t="n">
        <f aca="false">IF(AND(ISNUMBER(Y115),ISNUMBER(Z115),Y115&gt;0,Z115&gt;0),Y115/Z115,"")</f>
        <v>0.904694556974958</v>
      </c>
      <c r="AB115" s="21" t="n">
        <v>5.57317357970934</v>
      </c>
      <c r="AC115" s="9" t="n">
        <v>0.114503439270418</v>
      </c>
      <c r="AD115" s="9" t="n">
        <v>0.0285106413154208</v>
      </c>
      <c r="AE115" s="4" t="s">
        <v>530</v>
      </c>
    </row>
    <row r="116" customFormat="false" ht="15" hidden="false" customHeight="false" outlineLevel="0" collapsed="false">
      <c r="A116" s="4" t="s">
        <v>531</v>
      </c>
      <c r="B116" s="4" t="s">
        <v>532</v>
      </c>
      <c r="C116" s="4"/>
      <c r="D116" s="4"/>
      <c r="E116" s="4" t="s">
        <v>101</v>
      </c>
      <c r="F116" s="4" t="s">
        <v>102</v>
      </c>
      <c r="G116" s="4" t="s">
        <v>103</v>
      </c>
      <c r="H116" s="6" t="n">
        <v>5</v>
      </c>
      <c r="I116" s="19" t="n">
        <v>88309</v>
      </c>
      <c r="J116" s="9" t="n">
        <v>0.0353409308561783</v>
      </c>
      <c r="K116" s="9" t="n">
        <v>0.0848771498771499</v>
      </c>
      <c r="L116" s="9" t="n">
        <v>0.212254696576793</v>
      </c>
      <c r="M116" s="6" t="n">
        <v>5</v>
      </c>
      <c r="N116" s="19" t="n">
        <v>15427</v>
      </c>
      <c r="O116" s="9" t="n">
        <v>0.174693406108098</v>
      </c>
      <c r="P116" s="6" t="n">
        <v>3</v>
      </c>
      <c r="Q116" s="6" t="n">
        <v>5</v>
      </c>
      <c r="R116" s="9" t="n">
        <v>0.0841952761636171</v>
      </c>
      <c r="S116" s="9" t="n">
        <v>0.18566626691215</v>
      </c>
      <c r="T116" s="19" t="n">
        <v>116671</v>
      </c>
      <c r="U116" s="20" t="n">
        <v>3.72643648791082</v>
      </c>
      <c r="V116" s="21" t="n">
        <v>5.325</v>
      </c>
      <c r="W116" s="9" t="n">
        <v>-0.0990148776025051</v>
      </c>
      <c r="X116" s="9" t="n">
        <v>0.00938749164864283</v>
      </c>
      <c r="Y116" s="21" t="n">
        <v>15.990605427975</v>
      </c>
      <c r="Z116" s="21" t="n">
        <v>22.8390313390313</v>
      </c>
      <c r="AA116" s="22" t="n">
        <f aca="false">IF(AND(ISNUMBER(Y116),ISNUMBER(Z116),Y116&gt;0,Z116&gt;0),Y116/Z116,"")</f>
        <v>0.700143766633719</v>
      </c>
      <c r="AB116" s="21" t="n">
        <v>8.95586781975149</v>
      </c>
      <c r="AC116" s="9" t="n">
        <v>0.0963409989266313</v>
      </c>
      <c r="AD116" s="9" t="n">
        <v>0.0686490010984158</v>
      </c>
      <c r="AE116" s="4" t="s">
        <v>533</v>
      </c>
    </row>
    <row r="117" customFormat="false" ht="15" hidden="false" customHeight="false" outlineLevel="0" collapsed="false">
      <c r="A117" s="4" t="s">
        <v>534</v>
      </c>
      <c r="B117" s="4" t="s">
        <v>535</v>
      </c>
      <c r="C117" s="4" t="s">
        <v>206</v>
      </c>
      <c r="D117" s="4" t="s">
        <v>536</v>
      </c>
      <c r="E117" s="4" t="s">
        <v>101</v>
      </c>
      <c r="F117" s="4" t="s">
        <v>102</v>
      </c>
      <c r="G117" s="4" t="s">
        <v>103</v>
      </c>
      <c r="H117" s="6" t="n">
        <v>5</v>
      </c>
      <c r="I117" s="19" t="n">
        <v>94827</v>
      </c>
      <c r="J117" s="9" t="n">
        <v>0.051943257367141</v>
      </c>
      <c r="K117" s="9" t="n">
        <v>-0.0293069915037363</v>
      </c>
      <c r="L117" s="9" t="n">
        <v>0.0459257384500195</v>
      </c>
      <c r="M117" s="6" t="n">
        <v>5</v>
      </c>
      <c r="N117" s="19" t="n">
        <v>6220</v>
      </c>
      <c r="O117" s="9" t="n">
        <v>0.065593132757548</v>
      </c>
      <c r="P117" s="6" t="n">
        <v>5</v>
      </c>
      <c r="Q117" s="6" t="n">
        <v>5</v>
      </c>
      <c r="R117" s="9" t="n">
        <v>0.0729186978084863</v>
      </c>
      <c r="S117" s="9" t="n">
        <v>0.0457853134616545</v>
      </c>
      <c r="T117" s="19" t="n">
        <v>-35683</v>
      </c>
      <c r="U117" s="20" t="n">
        <v>-3.03323699421965</v>
      </c>
      <c r="V117" s="21" t="n">
        <v>12.8846153846154</v>
      </c>
      <c r="W117" s="9" t="n">
        <v>0.0152517985611511</v>
      </c>
      <c r="X117" s="9" t="n">
        <v>0.029791093254031</v>
      </c>
      <c r="Y117" s="21" t="n">
        <v>317.661016949153</v>
      </c>
      <c r="Z117" s="21" t="n">
        <v>181.077930230473</v>
      </c>
      <c r="AA117" s="22" t="n">
        <f aca="false">IF(AND(ISNUMBER(Y117),ISNUMBER(Z117),Y117&gt;0,Z117&gt;0),Y117/Z117,"")</f>
        <v>1.7542779318542</v>
      </c>
      <c r="AB117" s="21" t="n">
        <v>123.642367921018</v>
      </c>
      <c r="AC117" s="9" t="n">
        <v>0.00385922107682222</v>
      </c>
      <c r="AD117" s="9" t="n">
        <v>0.128752789838337</v>
      </c>
      <c r="AE117" s="4" t="s">
        <v>537</v>
      </c>
    </row>
    <row r="118" customFormat="false" ht="15" hidden="false" customHeight="false" outlineLevel="0" collapsed="false">
      <c r="A118" s="4" t="s">
        <v>538</v>
      </c>
      <c r="B118" s="4" t="s">
        <v>539</v>
      </c>
      <c r="C118" s="4" t="s">
        <v>99</v>
      </c>
      <c r="D118" s="4" t="s">
        <v>540</v>
      </c>
      <c r="E118" s="4" t="s">
        <v>101</v>
      </c>
      <c r="F118" s="4" t="s">
        <v>102</v>
      </c>
      <c r="G118" s="4" t="s">
        <v>103</v>
      </c>
      <c r="H118" s="6" t="n">
        <v>5</v>
      </c>
      <c r="I118" s="19" t="n">
        <v>52017</v>
      </c>
      <c r="J118" s="9" t="n">
        <v>0.177305807366942</v>
      </c>
      <c r="K118" s="9" t="n">
        <v>0.182795943426259</v>
      </c>
      <c r="L118" s="9" t="n">
        <v>0.106984255147356</v>
      </c>
      <c r="M118" s="6" t="n">
        <v>3</v>
      </c>
      <c r="N118" s="19" t="n">
        <v>9763</v>
      </c>
      <c r="O118" s="9" t="n">
        <v>0.187688640252225</v>
      </c>
      <c r="P118" s="6" t="n">
        <v>4</v>
      </c>
      <c r="Q118" s="6" t="n">
        <v>4</v>
      </c>
      <c r="R118" s="9" t="n">
        <v>0.13514755610206</v>
      </c>
      <c r="S118" s="9" t="n">
        <v>0.35797457536588</v>
      </c>
      <c r="T118" s="19" t="n">
        <v>4447</v>
      </c>
      <c r="U118" s="20" t="n">
        <v>0.636467725776442</v>
      </c>
      <c r="V118" s="21" t="n">
        <v>12.6477272727273</v>
      </c>
      <c r="W118" s="9" t="n">
        <v>0.0732993810407265</v>
      </c>
      <c r="X118" s="9" t="n">
        <v>0.0351039083376588</v>
      </c>
      <c r="Y118" s="21" t="n">
        <v>15.3976025917927</v>
      </c>
      <c r="Z118" s="21" t="n">
        <v>16.9522821576764</v>
      </c>
      <c r="AA118" s="22" t="n">
        <f aca="false">IF(AND(ISNUMBER(Y118),ISNUMBER(Z118),Y118&gt;0,Z118&gt;0),Y118/Z118,"")</f>
        <v>0.908290839462007</v>
      </c>
      <c r="AB118" s="21" t="n">
        <v>19.3242750219451</v>
      </c>
      <c r="AC118" s="9" t="n">
        <v>0.069707978989049</v>
      </c>
      <c r="AD118" s="9" t="n">
        <v>0.111412293384855</v>
      </c>
      <c r="AE118" s="4" t="s">
        <v>541</v>
      </c>
    </row>
    <row r="119" customFormat="false" ht="15" hidden="false" customHeight="false" outlineLevel="0" collapsed="false">
      <c r="A119" s="4" t="s">
        <v>542</v>
      </c>
      <c r="B119" s="4" t="s">
        <v>543</v>
      </c>
      <c r="C119" s="4" t="s">
        <v>148</v>
      </c>
      <c r="D119" s="4" t="s">
        <v>544</v>
      </c>
      <c r="E119" s="4" t="s">
        <v>101</v>
      </c>
      <c r="F119" s="4" t="s">
        <v>102</v>
      </c>
      <c r="G119" s="4" t="s">
        <v>103</v>
      </c>
      <c r="H119" s="6" t="n">
        <v>5</v>
      </c>
      <c r="I119" s="19" t="n">
        <v>447567</v>
      </c>
      <c r="J119" s="9" t="n">
        <v>0.113521614431935</v>
      </c>
      <c r="K119" s="9" t="n">
        <v>0.118140392427263</v>
      </c>
      <c r="L119" s="9" t="n">
        <v>0.0423713097703808</v>
      </c>
      <c r="M119" s="6" t="n">
        <v>5</v>
      </c>
      <c r="N119" s="19" t="n">
        <v>16075</v>
      </c>
      <c r="O119" s="9" t="n">
        <v>0.035916410280472</v>
      </c>
      <c r="P119" s="6" t="n">
        <v>5</v>
      </c>
      <c r="Q119" s="6" t="n">
        <v>5</v>
      </c>
      <c r="R119" s="9" t="n">
        <v>0.0985849466327994</v>
      </c>
      <c r="S119" s="9" t="n">
        <v>0.118547070738854</v>
      </c>
      <c r="T119" s="19" t="n">
        <v>50268</v>
      </c>
      <c r="U119" s="20" t="n">
        <v>2.17987857762359</v>
      </c>
      <c r="V119" s="21" t="n">
        <v>4.73863068465767</v>
      </c>
      <c r="W119" s="9" t="n">
        <v>-0.0421052631578948</v>
      </c>
      <c r="X119" s="9" t="n">
        <v>0.00216950758210503</v>
      </c>
      <c r="Y119" s="21" t="n">
        <v>24.7868304289113</v>
      </c>
      <c r="Z119" s="21" t="n">
        <v>24.9516250944822</v>
      </c>
      <c r="AA119" s="22" t="n">
        <f aca="false">IF(AND(ISNUMBER(Y119),ISNUMBER(Z119),Y119&gt;0,Z119&gt;0),Y119/Z119,"")</f>
        <v>0.993395433566075</v>
      </c>
      <c r="AB119" s="21" t="n">
        <v>15.3241603060979</v>
      </c>
      <c r="AC119" s="9" t="n">
        <v>0.0674668605286273</v>
      </c>
      <c r="AD119" s="9" t="n">
        <v>-0.00352343540743616</v>
      </c>
      <c r="AE119" s="4" t="s">
        <v>545</v>
      </c>
    </row>
    <row r="120" customFormat="false" ht="15" hidden="false" customHeight="false" outlineLevel="0" collapsed="false">
      <c r="A120" s="4" t="s">
        <v>546</v>
      </c>
      <c r="B120" s="4" t="s">
        <v>547</v>
      </c>
      <c r="C120" s="4" t="s">
        <v>444</v>
      </c>
      <c r="D120" s="4" t="s">
        <v>529</v>
      </c>
      <c r="E120" s="4" t="s">
        <v>101</v>
      </c>
      <c r="F120" s="4" t="s">
        <v>102</v>
      </c>
      <c r="G120" s="4" t="s">
        <v>103</v>
      </c>
      <c r="H120" s="6" t="n">
        <v>5</v>
      </c>
      <c r="I120" s="19" t="n">
        <v>138191</v>
      </c>
      <c r="J120" s="9" t="n">
        <v>0.00329239666570502</v>
      </c>
      <c r="K120" s="9" t="n">
        <v>0.0252470546339436</v>
      </c>
      <c r="L120" s="9" t="n">
        <v>0.211728694343336</v>
      </c>
      <c r="M120" s="6" t="n">
        <v>5</v>
      </c>
      <c r="N120" s="19" t="n">
        <v>19676</v>
      </c>
      <c r="O120" s="9" t="n">
        <v>0.142382644311135</v>
      </c>
      <c r="P120" s="6" t="n">
        <v>5</v>
      </c>
      <c r="Q120" s="6" t="n">
        <v>5</v>
      </c>
      <c r="R120" s="9" t="n">
        <v>0.0804582525488449</v>
      </c>
      <c r="S120" s="9" t="n">
        <v>0.162415713866901</v>
      </c>
      <c r="T120" s="19" t="n">
        <v>181546</v>
      </c>
      <c r="U120" s="20" t="n">
        <v>3.80479932935136</v>
      </c>
      <c r="V120" s="21" t="n">
        <v>4.37092919031969</v>
      </c>
      <c r="W120" s="9" t="n">
        <v>0.00642245480494763</v>
      </c>
      <c r="X120" s="9" t="n">
        <v>0</v>
      </c>
      <c r="Y120" s="21" t="n">
        <v>11.1692708333333</v>
      </c>
      <c r="Z120" s="21" t="n">
        <v>9.76691729323308</v>
      </c>
      <c r="AA120" s="22" t="n">
        <f aca="false">IF(AND(ISNUMBER(Y120),ISNUMBER(Z120),Y120&gt;0,Z120&gt;0),Y120/Z120,"")</f>
        <v>1.14358200218117</v>
      </c>
      <c r="AB120" s="21" t="n">
        <v>7.62821441517736</v>
      </c>
      <c r="AC120" s="9" t="n">
        <v>0.112569246512795</v>
      </c>
      <c r="AD120" s="9" t="n">
        <v>0.018610832767691</v>
      </c>
      <c r="AE120" s="4" t="s">
        <v>548</v>
      </c>
    </row>
    <row r="121" customFormat="false" ht="15" hidden="false" customHeight="false" outlineLevel="0" collapsed="false">
      <c r="A121" s="4" t="s">
        <v>549</v>
      </c>
      <c r="B121" s="4" t="s">
        <v>550</v>
      </c>
      <c r="C121" s="4" t="s">
        <v>330</v>
      </c>
      <c r="D121" s="4" t="s">
        <v>331</v>
      </c>
      <c r="E121" s="4" t="s">
        <v>101</v>
      </c>
      <c r="F121" s="4" t="s">
        <v>102</v>
      </c>
      <c r="G121" s="4" t="s">
        <v>103</v>
      </c>
      <c r="H121" s="6" t="n">
        <v>5</v>
      </c>
      <c r="I121" s="19" t="n">
        <v>323905</v>
      </c>
      <c r="J121" s="9" t="n">
        <v>-0.0668899154629598</v>
      </c>
      <c r="K121" s="9" t="n">
        <v>-0.0452236865764473</v>
      </c>
      <c r="L121" s="9" t="n">
        <v>0.104777635417792</v>
      </c>
      <c r="M121" s="6" t="n">
        <v>5</v>
      </c>
      <c r="N121" s="19" t="n">
        <v>23612</v>
      </c>
      <c r="O121" s="9" t="n">
        <v>0.0728979175992961</v>
      </c>
      <c r="P121" s="6" t="n">
        <v>5</v>
      </c>
      <c r="Q121" s="6" t="n">
        <v>5</v>
      </c>
      <c r="R121" s="9" t="n">
        <v>0.0895246458885676</v>
      </c>
      <c r="S121" s="9" t="n">
        <v>0.108181497678396</v>
      </c>
      <c r="T121" s="19" t="n">
        <v>32856</v>
      </c>
      <c r="U121" s="20" t="n">
        <v>0.484144760108452</v>
      </c>
      <c r="V121" s="21" t="n">
        <v>56.2819237147595</v>
      </c>
      <c r="W121" s="9" t="n">
        <v>0.0237812128418549</v>
      </c>
      <c r="X121" s="9" t="n">
        <v>0</v>
      </c>
      <c r="Y121" s="21" t="n">
        <v>22.3629343629344</v>
      </c>
      <c r="Z121" s="21" t="n">
        <v>11.3525046382189</v>
      </c>
      <c r="AA121" s="22" t="n">
        <f aca="false">IF(AND(ISNUMBER(Y121),ISNUMBER(Z121),Y121&gt;0,Z121&gt;0),Y121/Z121,"")</f>
        <v>1.96986789044315</v>
      </c>
      <c r="AB121" s="21" t="n">
        <v>10.4373494427149</v>
      </c>
      <c r="AC121" s="9" t="n">
        <v>0.0425598823405831</v>
      </c>
      <c r="AD121" s="9" t="n">
        <v>0.292225916061808</v>
      </c>
      <c r="AE121" s="4" t="s">
        <v>551</v>
      </c>
    </row>
    <row r="123" customFormat="false" ht="15" hidden="false" customHeight="false" outlineLevel="0" collapsed="false">
      <c r="A123" s="10" t="s">
        <v>552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6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9" min="1" style="0" width="15"/>
  </cols>
  <sheetData>
    <row r="1" customFormat="false" ht="42" hidden="false" customHeight="true" outlineLevel="0" collapsed="false">
      <c r="A1" s="1" t="s">
        <v>553</v>
      </c>
      <c r="B1" s="1" t="s">
        <v>554</v>
      </c>
      <c r="C1" s="1" t="s">
        <v>555</v>
      </c>
      <c r="D1" s="1" t="s">
        <v>556</v>
      </c>
      <c r="E1" s="1" t="s">
        <v>557</v>
      </c>
      <c r="F1" s="1" t="s">
        <v>558</v>
      </c>
      <c r="G1" s="1" t="s">
        <v>559</v>
      </c>
      <c r="H1" s="1" t="s">
        <v>560</v>
      </c>
      <c r="I1" s="1" t="s">
        <v>561</v>
      </c>
      <c r="J1" s="1" t="s">
        <v>562</v>
      </c>
      <c r="K1" s="1" t="s">
        <v>563</v>
      </c>
      <c r="L1" s="1" t="s">
        <v>564</v>
      </c>
      <c r="M1" s="1" t="s">
        <v>565</v>
      </c>
      <c r="N1" s="1" t="s">
        <v>566</v>
      </c>
      <c r="O1" s="1" t="s">
        <v>567</v>
      </c>
      <c r="P1" s="1" t="s">
        <v>568</v>
      </c>
      <c r="Q1" s="1" t="s">
        <v>569</v>
      </c>
      <c r="R1" s="1" t="s">
        <v>570</v>
      </c>
      <c r="S1" s="1" t="s">
        <v>571</v>
      </c>
    </row>
    <row r="2" customFormat="false" ht="15" hidden="false" customHeight="false" outlineLevel="0" collapsed="false">
      <c r="A2" s="4" t="s">
        <v>97</v>
      </c>
      <c r="B2" s="4" t="n">
        <v>2025</v>
      </c>
      <c r="C2" s="4" t="s">
        <v>103</v>
      </c>
      <c r="D2" s="23" t="n">
        <v>12305000000</v>
      </c>
      <c r="E2" s="23" t="n">
        <v>8892000000</v>
      </c>
      <c r="F2" s="23" t="n">
        <v>2609000000</v>
      </c>
      <c r="G2" s="23" t="n">
        <v>2700000000</v>
      </c>
      <c r="H2" s="23" t="n">
        <v>2511000000</v>
      </c>
      <c r="I2" s="4" t="n">
        <v>4.03</v>
      </c>
      <c r="J2" s="23" t="n">
        <v>623000000</v>
      </c>
      <c r="K2" s="23" t="n">
        <v>0</v>
      </c>
      <c r="L2" s="23" t="n">
        <v>4646000000</v>
      </c>
      <c r="M2" s="23" t="n">
        <v>0</v>
      </c>
      <c r="N2" s="23" t="n">
        <v>4646000000</v>
      </c>
      <c r="O2" s="23" t="n">
        <v>1592000000</v>
      </c>
      <c r="P2" s="23" t="n">
        <v>2271000000</v>
      </c>
      <c r="Q2" s="23" t="n">
        <v>11014000000</v>
      </c>
      <c r="R2" s="23" t="n">
        <v>8199000000</v>
      </c>
      <c r="S2" s="4" t="n">
        <v>33.1024390243902</v>
      </c>
    </row>
    <row r="3" customFormat="false" ht="15" hidden="false" customHeight="false" outlineLevel="0" collapsed="false">
      <c r="A3" s="4" t="s">
        <v>97</v>
      </c>
      <c r="B3" s="4" t="n">
        <v>2024</v>
      </c>
      <c r="C3" s="4" t="s">
        <v>572</v>
      </c>
      <c r="D3" s="23" t="n">
        <v>11102000000</v>
      </c>
      <c r="E3" s="23" t="n">
        <v>9224000000</v>
      </c>
      <c r="F3" s="23" t="n">
        <v>2553000000</v>
      </c>
      <c r="G3" s="23" t="n">
        <v>3396000000</v>
      </c>
      <c r="H3" s="23" t="n">
        <v>2648000000</v>
      </c>
      <c r="I3" s="4" t="n">
        <v>4.11</v>
      </c>
      <c r="J3" s="23" t="n">
        <v>645000000</v>
      </c>
      <c r="K3" s="23" t="n">
        <v>0</v>
      </c>
      <c r="L3" s="23" t="n">
        <v>4518000000</v>
      </c>
      <c r="M3" s="23" t="n">
        <v>0</v>
      </c>
      <c r="N3" s="23" t="n">
        <v>4518000000</v>
      </c>
      <c r="O3" s="23" t="n">
        <v>1407000000</v>
      </c>
      <c r="P3" s="23" t="n">
        <v>2294000000</v>
      </c>
      <c r="Q3" s="23" t="n">
        <v>10611000000</v>
      </c>
      <c r="R3" s="23" t="n">
        <v>8412000000</v>
      </c>
      <c r="S3" s="4" t="n">
        <v>31.3627684964201</v>
      </c>
    </row>
    <row r="4" customFormat="false" ht="15" hidden="false" customHeight="false" outlineLevel="0" collapsed="false">
      <c r="A4" s="4" t="s">
        <v>97</v>
      </c>
      <c r="B4" s="4" t="n">
        <v>2023</v>
      </c>
      <c r="C4" s="4" t="s">
        <v>573</v>
      </c>
      <c r="D4" s="23" t="n">
        <v>9917000000</v>
      </c>
      <c r="E4" s="23" t="n">
        <v>8214000000</v>
      </c>
      <c r="F4" s="23" t="n">
        <v>1518000000</v>
      </c>
      <c r="G4" s="23" t="n">
        <v>2229000000</v>
      </c>
      <c r="H4" s="23" t="n">
        <v>4792000000</v>
      </c>
      <c r="I4" s="4" t="n">
        <v>7.24</v>
      </c>
      <c r="J4" s="23" t="n">
        <v>662000000</v>
      </c>
      <c r="K4" s="23" t="n">
        <v>83000000</v>
      </c>
      <c r="L4" s="23" t="n">
        <v>3884000000</v>
      </c>
      <c r="M4" s="23" t="n">
        <v>0</v>
      </c>
      <c r="N4" s="23" t="n">
        <v>3884000000</v>
      </c>
      <c r="O4" s="23" t="n">
        <v>1120000000</v>
      </c>
      <c r="P4" s="23" t="n">
        <v>2304000000</v>
      </c>
      <c r="Q4" s="23" t="n">
        <v>10071000000</v>
      </c>
      <c r="R4" s="23" t="n">
        <v>8165000000</v>
      </c>
      <c r="S4" s="4" t="n">
        <v>18.1037234042553</v>
      </c>
    </row>
    <row r="5" customFormat="false" ht="15" hidden="false" customHeight="false" outlineLevel="0" collapsed="false">
      <c r="A5" s="4" t="s">
        <v>97</v>
      </c>
      <c r="B5" s="4" t="n">
        <v>2022</v>
      </c>
      <c r="C5" s="4" t="s">
        <v>574</v>
      </c>
      <c r="D5" s="23" t="n">
        <v>8399000000</v>
      </c>
      <c r="E5" s="23" t="n">
        <v>6900000000</v>
      </c>
      <c r="F5" s="23" t="n">
        <v>1802000000</v>
      </c>
      <c r="G5" s="23" t="n">
        <v>1972000000</v>
      </c>
      <c r="H5" s="23" t="n">
        <v>1893000000</v>
      </c>
      <c r="I5" s="4" t="n">
        <v>2.79</v>
      </c>
      <c r="J5" s="23" t="n">
        <v>680000000</v>
      </c>
      <c r="K5" s="23" t="n">
        <v>24000000</v>
      </c>
      <c r="L5" s="23" t="n">
        <v>3430000000</v>
      </c>
      <c r="M5" s="23" t="n">
        <v>-25000000</v>
      </c>
      <c r="N5" s="23" t="n">
        <v>3405000000</v>
      </c>
      <c r="O5" s="23" t="n">
        <v>930000000</v>
      </c>
      <c r="P5" s="23" t="n">
        <v>2341000000</v>
      </c>
      <c r="Q5" s="23" t="n">
        <v>9622000000</v>
      </c>
      <c r="R5" s="23" t="n">
        <v>5560000000</v>
      </c>
      <c r="S5" s="4" t="n">
        <v>28.7878787878788</v>
      </c>
    </row>
    <row r="6" customFormat="false" ht="15" hidden="false" customHeight="false" outlineLevel="0" collapsed="false">
      <c r="A6" s="4" t="s">
        <v>97</v>
      </c>
      <c r="B6" s="4" t="n">
        <v>2021</v>
      </c>
      <c r="C6" s="4" t="s">
        <v>575</v>
      </c>
      <c r="D6" s="23" t="n">
        <v>5992000000</v>
      </c>
      <c r="E6" s="23" t="n">
        <v>4836000000</v>
      </c>
      <c r="F6" s="23" t="n">
        <v>429000000</v>
      </c>
      <c r="G6" s="23" t="n">
        <v>276000000</v>
      </c>
      <c r="H6" s="23" t="n">
        <v>-352000000</v>
      </c>
      <c r="I6" s="4" t="n">
        <v>-0.57</v>
      </c>
      <c r="J6" s="23" t="n">
        <v>616000000</v>
      </c>
      <c r="K6" s="23" t="n">
        <v>438000000</v>
      </c>
      <c r="L6" s="23" t="n">
        <v>2313000000</v>
      </c>
      <c r="M6" s="23" t="n">
        <v>0</v>
      </c>
      <c r="N6" s="23" t="n">
        <v>2313000000</v>
      </c>
      <c r="O6" s="23" t="n">
        <v>0</v>
      </c>
      <c r="P6" s="23" t="n">
        <v>2418000000</v>
      </c>
      <c r="Q6" s="23" t="n">
        <v>8322000000</v>
      </c>
      <c r="R6" s="23" t="n">
        <v>4775000000</v>
      </c>
      <c r="S6" s="4" t="n">
        <v>-292.087719298246</v>
      </c>
    </row>
    <row r="7" customFormat="false" ht="15" hidden="false" customHeight="false" outlineLevel="0" collapsed="false">
      <c r="A7" s="4" t="s">
        <v>105</v>
      </c>
      <c r="B7" s="4" t="n">
        <v>2025</v>
      </c>
      <c r="C7" s="4" t="s">
        <v>109</v>
      </c>
      <c r="D7" s="23" t="n">
        <v>23769000000</v>
      </c>
      <c r="E7" s="23" t="n">
        <v>21218000000</v>
      </c>
      <c r="F7" s="23" t="n">
        <v>8706000000</v>
      </c>
      <c r="G7" s="23" t="n">
        <v>9815000000</v>
      </c>
      <c r="H7" s="23" t="n">
        <v>7130000000</v>
      </c>
      <c r="I7" s="4" t="n">
        <v>16.7</v>
      </c>
      <c r="J7" s="23" t="n">
        <v>427000000</v>
      </c>
      <c r="K7" s="23" t="n">
        <v>263000000</v>
      </c>
      <c r="L7" s="23" t="n">
        <v>10031000000</v>
      </c>
      <c r="M7" s="23" t="n">
        <v>-179000000</v>
      </c>
      <c r="N7" s="23" t="n">
        <v>9852000000</v>
      </c>
      <c r="O7" s="23" t="n">
        <v>1942000000</v>
      </c>
      <c r="P7" s="23" t="n">
        <v>6648000000</v>
      </c>
      <c r="Q7" s="23" t="n">
        <v>6595000000</v>
      </c>
      <c r="R7" s="23" t="n">
        <v>11623000000</v>
      </c>
      <c r="S7" s="4" t="n">
        <v>19.1350866706515</v>
      </c>
    </row>
    <row r="8" customFormat="false" ht="15" hidden="false" customHeight="false" outlineLevel="0" collapsed="false">
      <c r="A8" s="4" t="s">
        <v>105</v>
      </c>
      <c r="B8" s="4" t="n">
        <v>2024</v>
      </c>
      <c r="C8" s="4" t="s">
        <v>576</v>
      </c>
      <c r="D8" s="23" t="n">
        <v>21505000000</v>
      </c>
      <c r="E8" s="23" t="n">
        <v>19147000000</v>
      </c>
      <c r="F8" s="23" t="n">
        <v>6741000000</v>
      </c>
      <c r="G8" s="23" t="n">
        <v>7957000000</v>
      </c>
      <c r="H8" s="23" t="n">
        <v>5560000000</v>
      </c>
      <c r="I8" s="4" t="n">
        <v>12.36</v>
      </c>
      <c r="J8" s="23" t="n">
        <v>450000000</v>
      </c>
      <c r="K8" s="23" t="n">
        <v>164000000</v>
      </c>
      <c r="L8" s="23" t="n">
        <v>8056000000</v>
      </c>
      <c r="M8" s="23" t="n">
        <v>-183000000</v>
      </c>
      <c r="N8" s="23" t="n">
        <v>7873000000</v>
      </c>
      <c r="O8" s="23" t="n">
        <v>1833000000</v>
      </c>
      <c r="P8" s="23" t="n">
        <v>6056000000</v>
      </c>
      <c r="Q8" s="23" t="n">
        <v>7886000000</v>
      </c>
      <c r="R8" s="23" t="n">
        <v>14105000000</v>
      </c>
      <c r="S8" s="4" t="n">
        <v>41.4734726688103</v>
      </c>
    </row>
    <row r="9" customFormat="false" ht="15" hidden="false" customHeight="false" outlineLevel="0" collapsed="false">
      <c r="A9" s="4" t="s">
        <v>105</v>
      </c>
      <c r="B9" s="4" t="n">
        <v>2023</v>
      </c>
      <c r="C9" s="4" t="s">
        <v>577</v>
      </c>
      <c r="D9" s="23" t="n">
        <v>19409000000</v>
      </c>
      <c r="E9" s="23" t="n">
        <v>17055000000</v>
      </c>
      <c r="F9" s="23" t="n">
        <v>6650000000</v>
      </c>
      <c r="G9" s="23" t="n">
        <v>7784000000</v>
      </c>
      <c r="H9" s="23" t="n">
        <v>5428000000</v>
      </c>
      <c r="I9" s="4" t="n">
        <v>11.83</v>
      </c>
      <c r="J9" s="23" t="n">
        <v>459000000</v>
      </c>
      <c r="K9" s="23" t="n">
        <v>113000000</v>
      </c>
      <c r="L9" s="23" t="n">
        <v>7302000000</v>
      </c>
      <c r="M9" s="23" t="n">
        <v>-360000000</v>
      </c>
      <c r="N9" s="23" t="n">
        <v>6942000000</v>
      </c>
      <c r="O9" s="23" t="n">
        <v>1718000000</v>
      </c>
      <c r="P9" s="23" t="n">
        <v>4080000000</v>
      </c>
      <c r="Q9" s="23" t="n">
        <v>7842000000</v>
      </c>
      <c r="R9" s="23" t="n">
        <v>16518000000</v>
      </c>
      <c r="S9" s="4" t="n">
        <v>51.5547138047138</v>
      </c>
    </row>
    <row r="10" customFormat="false" ht="15" hidden="false" customHeight="false" outlineLevel="0" collapsed="false">
      <c r="A10" s="4" t="s">
        <v>105</v>
      </c>
      <c r="B10" s="4" t="n">
        <v>2022</v>
      </c>
      <c r="C10" s="4" t="s">
        <v>578</v>
      </c>
      <c r="D10" s="23" t="n">
        <v>17606000000</v>
      </c>
      <c r="E10" s="23" t="n">
        <v>15441000000</v>
      </c>
      <c r="F10" s="23" t="n">
        <v>6098000000</v>
      </c>
      <c r="G10" s="23" t="n">
        <v>6954000000</v>
      </c>
      <c r="H10" s="23" t="n">
        <v>4756000000</v>
      </c>
      <c r="I10" s="4" t="n">
        <v>10.1</v>
      </c>
      <c r="J10" s="23" t="n">
        <v>471000000</v>
      </c>
      <c r="K10" s="23" t="n">
        <v>112000000</v>
      </c>
      <c r="L10" s="23" t="n">
        <v>7838000000</v>
      </c>
      <c r="M10" s="23" t="n">
        <v>-442000000</v>
      </c>
      <c r="N10" s="23" t="n">
        <v>7396000000</v>
      </c>
      <c r="O10" s="23" t="n">
        <v>1440000000</v>
      </c>
      <c r="P10" s="23" t="n">
        <v>4633000000</v>
      </c>
      <c r="Q10" s="23" t="n">
        <v>6096000000</v>
      </c>
      <c r="R10" s="23" t="n">
        <v>14051000000</v>
      </c>
      <c r="S10" s="4" t="n">
        <v>33.7147087857848</v>
      </c>
    </row>
    <row r="11" customFormat="false" ht="15" hidden="false" customHeight="false" outlineLevel="0" collapsed="false">
      <c r="A11" s="4" t="s">
        <v>105</v>
      </c>
      <c r="B11" s="4" t="n">
        <v>2021</v>
      </c>
      <c r="C11" s="4" t="s">
        <v>579</v>
      </c>
      <c r="D11" s="23" t="n">
        <v>15785000000</v>
      </c>
      <c r="E11" s="23" t="n">
        <v>13920000000</v>
      </c>
      <c r="F11" s="23" t="n">
        <v>5802000000</v>
      </c>
      <c r="G11" s="23" t="n">
        <v>6602000000</v>
      </c>
      <c r="H11" s="23" t="n">
        <v>4822000000</v>
      </c>
      <c r="I11" s="4" t="n">
        <v>10.02</v>
      </c>
      <c r="J11" s="23" t="n">
        <v>481000000</v>
      </c>
      <c r="K11" s="23" t="n">
        <v>113000000</v>
      </c>
      <c r="L11" s="23" t="n">
        <v>7230000000</v>
      </c>
      <c r="M11" s="23" t="n">
        <v>-330000000</v>
      </c>
      <c r="N11" s="23" t="n">
        <v>6893000000</v>
      </c>
      <c r="O11" s="23" t="n">
        <v>1069000000</v>
      </c>
      <c r="P11" s="23" t="n">
        <v>4673000000</v>
      </c>
      <c r="Q11" s="23" t="n">
        <v>5798000000</v>
      </c>
      <c r="R11" s="23" t="n">
        <v>14797000000</v>
      </c>
      <c r="S11" s="4" t="n">
        <v>61.0425742574257</v>
      </c>
    </row>
    <row r="12" customFormat="false" ht="15" hidden="false" customHeight="false" outlineLevel="0" collapsed="false">
      <c r="A12" s="4" t="s">
        <v>111</v>
      </c>
      <c r="B12" s="4" t="n">
        <v>2026</v>
      </c>
      <c r="C12" s="4" t="s">
        <v>115</v>
      </c>
      <c r="D12" s="23" t="n">
        <v>21947500000</v>
      </c>
      <c r="E12" s="23" t="n">
        <v>10575600000</v>
      </c>
      <c r="F12" s="23" t="n">
        <v>4078400000</v>
      </c>
      <c r="G12" s="23" t="n">
        <v>6448400000</v>
      </c>
      <c r="H12" s="23" t="n">
        <v>4413500000</v>
      </c>
      <c r="I12" s="4" t="n">
        <v>10.95</v>
      </c>
      <c r="J12" s="23" t="n">
        <v>399429000</v>
      </c>
      <c r="K12" s="23" t="n">
        <v>459200000</v>
      </c>
      <c r="L12" s="23" t="n">
        <v>5441200000</v>
      </c>
      <c r="M12" s="23" t="n">
        <v>-196600000</v>
      </c>
      <c r="N12" s="23" t="n">
        <v>5244600000</v>
      </c>
      <c r="O12" s="23" t="n">
        <v>242600000</v>
      </c>
      <c r="P12" s="23" t="n">
        <v>5270800000</v>
      </c>
      <c r="Q12" s="23" t="n">
        <v>4230100000</v>
      </c>
      <c r="R12" s="23" t="n">
        <v>6031200000</v>
      </c>
      <c r="S12" s="4" t="n">
        <v>20.4147675478578</v>
      </c>
    </row>
    <row r="13" customFormat="false" ht="15" hidden="false" customHeight="false" outlineLevel="0" collapsed="false">
      <c r="A13" s="4" t="s">
        <v>111</v>
      </c>
      <c r="B13" s="4" t="n">
        <v>2025</v>
      </c>
      <c r="C13" s="4" t="s">
        <v>580</v>
      </c>
      <c r="D13" s="23" t="n">
        <v>20560900000</v>
      </c>
      <c r="E13" s="23" t="n">
        <v>10452200000</v>
      </c>
      <c r="F13" s="23" t="n">
        <v>5411900000</v>
      </c>
      <c r="G13" s="23" t="n">
        <v>6242000000</v>
      </c>
      <c r="H13" s="23" t="n">
        <v>4079700000</v>
      </c>
      <c r="I13" s="4" t="n">
        <v>9.98</v>
      </c>
      <c r="J13" s="23" t="n">
        <v>408700000</v>
      </c>
      <c r="K13" s="23" t="n">
        <v>455900000</v>
      </c>
      <c r="L13" s="23" t="n">
        <v>4939700000</v>
      </c>
      <c r="M13" s="23" t="n">
        <v>-168700000</v>
      </c>
      <c r="N13" s="23" t="n">
        <v>4771000000</v>
      </c>
      <c r="O13" s="23" t="n">
        <v>266100000</v>
      </c>
      <c r="P13" s="23" t="n">
        <v>9065400000</v>
      </c>
      <c r="Q13" s="23" t="n">
        <v>7846600000</v>
      </c>
      <c r="R13" s="23" t="n">
        <v>6188000000</v>
      </c>
      <c r="S13" s="4" t="n">
        <v>30.7784431137725</v>
      </c>
    </row>
    <row r="14" customFormat="false" ht="15" hidden="false" customHeight="false" outlineLevel="0" collapsed="false">
      <c r="A14" s="4" t="s">
        <v>111</v>
      </c>
      <c r="B14" s="4" t="n">
        <v>2024</v>
      </c>
      <c r="C14" s="4" t="s">
        <v>581</v>
      </c>
      <c r="D14" s="23" t="n">
        <v>19202600000</v>
      </c>
      <c r="E14" s="23" t="n">
        <v>9590600000</v>
      </c>
      <c r="F14" s="23" t="n">
        <v>4943000000</v>
      </c>
      <c r="G14" s="23" t="n">
        <v>5800000000</v>
      </c>
      <c r="H14" s="23" t="n">
        <v>3752000000</v>
      </c>
      <c r="I14" s="4" t="n">
        <v>9.1</v>
      </c>
      <c r="J14" s="23" t="n">
        <v>412200000</v>
      </c>
      <c r="K14" s="23" t="n">
        <v>365800000</v>
      </c>
      <c r="L14" s="23" t="n">
        <v>4157600000</v>
      </c>
      <c r="M14" s="23" t="n">
        <v>-563400000</v>
      </c>
      <c r="N14" s="23" t="n">
        <v>3594200000</v>
      </c>
      <c r="O14" s="23" t="n">
        <v>243500000</v>
      </c>
      <c r="P14" s="23" t="n">
        <v>3705300000</v>
      </c>
      <c r="Q14" s="23" t="n">
        <v>3297400000</v>
      </c>
      <c r="R14" s="23" t="n">
        <v>4547600000</v>
      </c>
      <c r="S14" s="4" t="n">
        <v>25.7844638949672</v>
      </c>
    </row>
    <row r="15" customFormat="false" ht="15" hidden="false" customHeight="false" outlineLevel="0" collapsed="false">
      <c r="A15" s="4" t="s">
        <v>111</v>
      </c>
      <c r="B15" s="4" t="n">
        <v>2023</v>
      </c>
      <c r="C15" s="4" t="s">
        <v>582</v>
      </c>
      <c r="D15" s="23" t="n">
        <v>18012200000</v>
      </c>
      <c r="E15" s="23" t="n">
        <v>8805500000</v>
      </c>
      <c r="F15" s="23" t="n">
        <v>4506200000</v>
      </c>
      <c r="G15" s="23" t="n">
        <v>5244600000</v>
      </c>
      <c r="H15" s="23" t="n">
        <v>3412000000</v>
      </c>
      <c r="I15" s="4" t="n">
        <v>8.21</v>
      </c>
      <c r="J15" s="23" t="n">
        <v>415700000</v>
      </c>
      <c r="K15" s="23" t="n">
        <v>257700000</v>
      </c>
      <c r="L15" s="23" t="n">
        <v>4207600000</v>
      </c>
      <c r="M15" s="23" t="n">
        <v>-571600000</v>
      </c>
      <c r="N15" s="23" t="n">
        <v>3636000000</v>
      </c>
      <c r="O15" s="23" t="n">
        <v>220400000</v>
      </c>
      <c r="P15" s="23" t="n">
        <v>3444300000</v>
      </c>
      <c r="Q15" s="23" t="n">
        <v>2098200000</v>
      </c>
      <c r="R15" s="23" t="n">
        <v>3509100000</v>
      </c>
      <c r="S15" s="4" t="n">
        <v>26.6412121212121</v>
      </c>
    </row>
    <row r="16" customFormat="false" ht="15" hidden="false" customHeight="false" outlineLevel="0" collapsed="false">
      <c r="A16" s="4" t="s">
        <v>111</v>
      </c>
      <c r="B16" s="4" t="n">
        <v>2022</v>
      </c>
      <c r="C16" s="4" t="s">
        <v>583</v>
      </c>
      <c r="D16" s="23" t="n">
        <v>16498300000</v>
      </c>
      <c r="E16" s="23" t="n">
        <v>7730600000</v>
      </c>
      <c r="F16" s="23" t="n">
        <v>3803200000</v>
      </c>
      <c r="G16" s="23" t="n">
        <v>4405500000</v>
      </c>
      <c r="H16" s="23" t="n">
        <v>2948900000</v>
      </c>
      <c r="I16" s="4" t="n">
        <v>7</v>
      </c>
      <c r="J16" s="23" t="n">
        <v>421100000</v>
      </c>
      <c r="K16" s="23" t="n">
        <v>86300000</v>
      </c>
      <c r="L16" s="23" t="n">
        <v>3099500000</v>
      </c>
      <c r="M16" s="23" t="n">
        <v>-553400000</v>
      </c>
      <c r="N16" s="23" t="n">
        <v>2546100000</v>
      </c>
      <c r="O16" s="23" t="n">
        <v>201700000</v>
      </c>
      <c r="P16" s="23" t="n">
        <v>3494400000</v>
      </c>
      <c r="Q16" s="23" t="n">
        <v>1483300000</v>
      </c>
      <c r="R16" s="23" t="n">
        <v>3225300000</v>
      </c>
      <c r="S16" s="4" t="n">
        <v>29.8352272727273</v>
      </c>
    </row>
    <row r="17" customFormat="false" ht="15" hidden="false" customHeight="false" outlineLevel="0" collapsed="false">
      <c r="A17" s="4" t="s">
        <v>117</v>
      </c>
      <c r="B17" s="4" t="n">
        <v>2025</v>
      </c>
      <c r="C17" s="4" t="s">
        <v>103</v>
      </c>
      <c r="D17" s="23" t="n">
        <v>9005700000</v>
      </c>
      <c r="E17" s="23" t="n">
        <v>5768700000</v>
      </c>
      <c r="F17" s="23" t="n">
        <v>3856100000</v>
      </c>
      <c r="G17" s="23" t="n">
        <v>4322300000</v>
      </c>
      <c r="H17" s="23" t="n">
        <v>3511400000</v>
      </c>
      <c r="I17" s="4" t="n">
        <v>2.75</v>
      </c>
      <c r="J17" s="23" t="n">
        <v>1275700000</v>
      </c>
      <c r="K17" s="23" t="n">
        <v>0</v>
      </c>
      <c r="L17" s="23" t="n">
        <v>4371900000</v>
      </c>
      <c r="M17" s="23" t="n">
        <v>-119500000</v>
      </c>
      <c r="N17" s="23" t="n">
        <v>4252400000</v>
      </c>
      <c r="O17" s="23" t="n">
        <v>439200000</v>
      </c>
      <c r="P17" s="23" t="n">
        <v>0</v>
      </c>
      <c r="Q17" s="23" t="n">
        <v>10743000000</v>
      </c>
      <c r="R17" s="23" t="n">
        <v>12370500000</v>
      </c>
      <c r="S17" s="4" t="n">
        <v>46.9641577060932</v>
      </c>
    </row>
    <row r="18" customFormat="false" ht="15" hidden="false" customHeight="false" outlineLevel="0" collapsed="false">
      <c r="A18" s="4" t="s">
        <v>117</v>
      </c>
      <c r="B18" s="4" t="n">
        <v>2024</v>
      </c>
      <c r="C18" s="4" t="s">
        <v>572</v>
      </c>
      <c r="D18" s="23" t="n">
        <v>7003100000</v>
      </c>
      <c r="E18" s="23" t="n">
        <v>4491300000</v>
      </c>
      <c r="F18" s="23" t="n">
        <v>2944600000</v>
      </c>
      <c r="G18" s="23" t="n">
        <v>3327138000</v>
      </c>
      <c r="H18" s="23" t="n">
        <v>2852100000</v>
      </c>
      <c r="I18" s="4" t="n">
        <v>2.23</v>
      </c>
      <c r="J18" s="23" t="n">
        <v>1281077000</v>
      </c>
      <c r="K18" s="23" t="n">
        <v>0</v>
      </c>
      <c r="L18" s="23" t="n">
        <v>3708235000</v>
      </c>
      <c r="M18" s="23" t="n">
        <v>-32032000</v>
      </c>
      <c r="N18" s="23" t="n">
        <v>3676203000</v>
      </c>
      <c r="O18" s="23" t="n">
        <v>355364000</v>
      </c>
      <c r="P18" s="23" t="n">
        <v>0</v>
      </c>
      <c r="Q18" s="23" t="n">
        <v>8303473000</v>
      </c>
      <c r="R18" s="23" t="n">
        <v>9994807000</v>
      </c>
      <c r="S18" s="4" t="n">
        <v>48.6916299559471</v>
      </c>
    </row>
    <row r="19" customFormat="false" ht="15" hidden="false" customHeight="false" outlineLevel="0" collapsed="false">
      <c r="A19" s="4" t="s">
        <v>117</v>
      </c>
      <c r="B19" s="4" t="n">
        <v>2023</v>
      </c>
      <c r="C19" s="4" t="s">
        <v>573</v>
      </c>
      <c r="D19" s="23" t="n">
        <v>5860168000</v>
      </c>
      <c r="E19" s="23" t="n">
        <v>3630281000</v>
      </c>
      <c r="F19" s="23" t="n">
        <v>2257249000</v>
      </c>
      <c r="G19" s="23" t="n">
        <v>2492656000</v>
      </c>
      <c r="H19" s="23" t="n">
        <v>2087321000</v>
      </c>
      <c r="I19" s="4" t="n">
        <v>1.65</v>
      </c>
      <c r="J19" s="23" t="n">
        <v>1268538000</v>
      </c>
      <c r="K19" s="23" t="n">
        <v>0</v>
      </c>
      <c r="L19" s="23" t="n">
        <v>2034014000</v>
      </c>
      <c r="M19" s="23" t="n">
        <v>-34434000</v>
      </c>
      <c r="N19" s="23" t="n">
        <v>1999580000</v>
      </c>
      <c r="O19" s="23" t="n">
        <v>296756000</v>
      </c>
      <c r="P19" s="23" t="n">
        <v>0</v>
      </c>
      <c r="Q19" s="23" t="n">
        <v>5007968000</v>
      </c>
      <c r="R19" s="23" t="n">
        <v>7219059000</v>
      </c>
      <c r="S19" s="4" t="n">
        <v>34.8402366863905</v>
      </c>
    </row>
    <row r="20" customFormat="false" ht="15" hidden="false" customHeight="false" outlineLevel="0" collapsed="false">
      <c r="A20" s="4" t="s">
        <v>117</v>
      </c>
      <c r="B20" s="4" t="n">
        <v>2022</v>
      </c>
      <c r="C20" s="4" t="s">
        <v>574</v>
      </c>
      <c r="D20" s="23" t="n">
        <v>4381310000</v>
      </c>
      <c r="E20" s="23" t="n">
        <v>2675696000</v>
      </c>
      <c r="F20" s="23" t="n">
        <v>1527106000</v>
      </c>
      <c r="G20" s="23" t="n">
        <v>1644496000</v>
      </c>
      <c r="H20" s="23" t="n">
        <v>1352446000</v>
      </c>
      <c r="I20" s="4" t="n">
        <v>1.07</v>
      </c>
      <c r="J20" s="23" t="n">
        <v>1265835000</v>
      </c>
      <c r="K20" s="23" t="n">
        <v>0</v>
      </c>
      <c r="L20" s="23" t="n">
        <v>492813000</v>
      </c>
      <c r="M20" s="23" t="n">
        <v>-44644000</v>
      </c>
      <c r="N20" s="23" t="n">
        <v>448169000</v>
      </c>
      <c r="O20" s="23" t="n">
        <v>230934000</v>
      </c>
      <c r="P20" s="23" t="n">
        <v>43964000</v>
      </c>
      <c r="Q20" s="23" t="n">
        <v>3023729000</v>
      </c>
      <c r="R20" s="23" t="n">
        <v>4885820000</v>
      </c>
      <c r="S20" s="4" t="n">
        <v>27.5818181818182</v>
      </c>
    </row>
    <row r="21" customFormat="false" ht="15" hidden="false" customHeight="false" outlineLevel="0" collapsed="false">
      <c r="A21" s="4" t="s">
        <v>117</v>
      </c>
      <c r="B21" s="4" t="n">
        <v>2021</v>
      </c>
      <c r="C21" s="4" t="s">
        <v>575</v>
      </c>
      <c r="D21" s="23" t="n">
        <v>2948037000</v>
      </c>
      <c r="E21" s="23" t="n">
        <v>1880779000</v>
      </c>
      <c r="F21" s="23" t="n">
        <v>924739000</v>
      </c>
      <c r="G21" s="23" t="n">
        <v>981213000</v>
      </c>
      <c r="H21" s="23" t="n">
        <v>840854000</v>
      </c>
      <c r="I21" s="4" t="n">
        <v>0.66</v>
      </c>
      <c r="J21" s="23" t="n">
        <v>1276952000</v>
      </c>
      <c r="K21" s="23" t="n">
        <v>0</v>
      </c>
      <c r="L21" s="23" t="n">
        <v>1015856000</v>
      </c>
      <c r="M21" s="23" t="n">
        <v>-64736000</v>
      </c>
      <c r="N21" s="23" t="n">
        <v>951120000</v>
      </c>
      <c r="O21" s="23" t="n">
        <v>186875000</v>
      </c>
      <c r="P21" s="23" t="n">
        <v>56527000</v>
      </c>
      <c r="Q21" s="23" t="n">
        <v>3408315000</v>
      </c>
      <c r="R21" s="23" t="n">
        <v>3978600000</v>
      </c>
      <c r="S21" s="4" t="n">
        <v>52.0869565217391</v>
      </c>
    </row>
    <row r="22" customFormat="false" ht="15" hidden="false" customHeight="false" outlineLevel="0" collapsed="false">
      <c r="A22" s="4" t="s">
        <v>121</v>
      </c>
      <c r="B22" s="4" t="n">
        <v>2025</v>
      </c>
      <c r="C22" s="4" t="s">
        <v>103</v>
      </c>
      <c r="D22" s="23" t="n">
        <v>23094700000</v>
      </c>
      <c r="E22" s="23" t="n">
        <v>8595500000</v>
      </c>
      <c r="F22" s="23" t="n">
        <v>5868600000</v>
      </c>
      <c r="G22" s="23" t="n">
        <v>6970800000</v>
      </c>
      <c r="H22" s="23" t="n">
        <v>4270300000</v>
      </c>
      <c r="I22" s="4" t="n">
        <v>1.67</v>
      </c>
      <c r="J22" s="23" t="n">
        <v>2555000000</v>
      </c>
      <c r="K22" s="23" t="n">
        <v>367800000</v>
      </c>
      <c r="L22" s="23" t="n">
        <v>5374700000</v>
      </c>
      <c r="M22" s="23" t="n">
        <v>-996600000</v>
      </c>
      <c r="N22" s="23" t="n">
        <v>4378100000</v>
      </c>
      <c r="O22" s="23" t="n">
        <v>0</v>
      </c>
      <c r="P22" s="23" t="n">
        <v>15502000000</v>
      </c>
      <c r="Q22" s="23" t="n">
        <v>11434200000</v>
      </c>
      <c r="R22" s="23" t="n">
        <v>13509700000</v>
      </c>
      <c r="S22" s="4" t="n">
        <v>38.5014245014245</v>
      </c>
    </row>
    <row r="23" customFormat="false" ht="15" hidden="false" customHeight="false" outlineLevel="0" collapsed="false">
      <c r="A23" s="4" t="s">
        <v>121</v>
      </c>
      <c r="B23" s="4" t="n">
        <v>2024</v>
      </c>
      <c r="C23" s="4" t="s">
        <v>572</v>
      </c>
      <c r="D23" s="23" t="n">
        <v>15222700000</v>
      </c>
      <c r="E23" s="23" t="n">
        <v>5139700000</v>
      </c>
      <c r="F23" s="23" t="n">
        <v>3284300000</v>
      </c>
      <c r="G23" s="23" t="n">
        <v>3801400000</v>
      </c>
      <c r="H23" s="23" t="n">
        <v>2424000000</v>
      </c>
      <c r="I23" s="4" t="n">
        <v>0.96</v>
      </c>
      <c r="J23" s="23" t="n">
        <v>2527200000</v>
      </c>
      <c r="K23" s="23" t="n">
        <v>217000000</v>
      </c>
      <c r="L23" s="23" t="n">
        <v>2814700000</v>
      </c>
      <c r="M23" s="23" t="n">
        <v>-665400000</v>
      </c>
      <c r="N23" s="23" t="n">
        <v>2149300000</v>
      </c>
      <c r="O23" s="23" t="n">
        <v>109500000</v>
      </c>
      <c r="P23" s="23" t="n">
        <v>7280200000</v>
      </c>
      <c r="Q23" s="23" t="n">
        <v>3335400000</v>
      </c>
      <c r="R23" s="23" t="n">
        <v>9856100000</v>
      </c>
      <c r="S23" s="4" t="n">
        <v>34.5572139303483</v>
      </c>
    </row>
    <row r="24" customFormat="false" ht="15" hidden="false" customHeight="false" outlineLevel="0" collapsed="false">
      <c r="A24" s="4" t="s">
        <v>121</v>
      </c>
      <c r="B24" s="4" t="n">
        <v>2023</v>
      </c>
      <c r="C24" s="4" t="s">
        <v>573</v>
      </c>
      <c r="D24" s="23" t="n">
        <v>12554700000</v>
      </c>
      <c r="E24" s="23" t="n">
        <v>4084100000</v>
      </c>
      <c r="F24" s="23" t="n">
        <v>2594200000</v>
      </c>
      <c r="G24" s="23" t="n">
        <v>3000700000</v>
      </c>
      <c r="H24" s="23" t="n">
        <v>1928000000</v>
      </c>
      <c r="I24" s="4" t="n">
        <v>0.78</v>
      </c>
      <c r="J24" s="23" t="n">
        <v>2482400000</v>
      </c>
      <c r="K24" s="23" t="n">
        <v>139500000</v>
      </c>
      <c r="L24" s="23" t="n">
        <v>2528700000</v>
      </c>
      <c r="M24" s="23" t="n">
        <v>-372800000</v>
      </c>
      <c r="N24" s="23" t="n">
        <v>2155900000</v>
      </c>
      <c r="O24" s="23" t="n">
        <v>99000000</v>
      </c>
      <c r="P24" s="23" t="n">
        <v>4641000000</v>
      </c>
      <c r="Q24" s="23" t="n">
        <v>1660200000</v>
      </c>
      <c r="R24" s="23" t="n">
        <v>8426500000</v>
      </c>
      <c r="S24" s="4" t="n">
        <v>30.6049382716049</v>
      </c>
    </row>
    <row r="25" customFormat="false" ht="15" hidden="false" customHeight="false" outlineLevel="0" collapsed="false">
      <c r="A25" s="4" t="s">
        <v>121</v>
      </c>
      <c r="B25" s="4" t="n">
        <v>2022</v>
      </c>
      <c r="C25" s="4" t="s">
        <v>574</v>
      </c>
      <c r="D25" s="23" t="n">
        <v>12623000000</v>
      </c>
      <c r="E25" s="23" t="n">
        <v>4028200000</v>
      </c>
      <c r="F25" s="23" t="n">
        <v>2607300000</v>
      </c>
      <c r="G25" s="23" t="n">
        <v>2988700000</v>
      </c>
      <c r="H25" s="23" t="n">
        <v>1902300000</v>
      </c>
      <c r="I25" s="4" t="n">
        <v>0.765</v>
      </c>
      <c r="J25" s="23" t="n">
        <v>2484000000</v>
      </c>
      <c r="K25" s="23" t="n">
        <v>128400000</v>
      </c>
      <c r="L25" s="23" t="n">
        <v>2174600000</v>
      </c>
      <c r="M25" s="23" t="n">
        <v>-383800000</v>
      </c>
      <c r="N25" s="23" t="n">
        <v>1790800000</v>
      </c>
      <c r="O25" s="23" t="n">
        <v>89500000</v>
      </c>
      <c r="P25" s="23" t="n">
        <v>4871400000</v>
      </c>
      <c r="Q25" s="23" t="n">
        <v>1434200000</v>
      </c>
      <c r="R25" s="23" t="n">
        <v>7094100000</v>
      </c>
      <c r="S25" s="4" t="n">
        <v>23.8</v>
      </c>
    </row>
    <row r="26" customFormat="false" ht="15" hidden="false" customHeight="false" outlineLevel="0" collapsed="false">
      <c r="A26" s="4" t="s">
        <v>121</v>
      </c>
      <c r="B26" s="4" t="n">
        <v>2021</v>
      </c>
      <c r="C26" s="4" t="s">
        <v>575</v>
      </c>
      <c r="D26" s="23" t="n">
        <v>10876300000</v>
      </c>
      <c r="E26" s="23" t="n">
        <v>3401800000</v>
      </c>
      <c r="F26" s="23" t="n">
        <v>2175500000</v>
      </c>
      <c r="G26" s="23" t="n">
        <v>2500300000</v>
      </c>
      <c r="H26" s="23" t="n">
        <v>1590800000</v>
      </c>
      <c r="I26" s="4" t="n">
        <v>0.635</v>
      </c>
      <c r="J26" s="23" t="n">
        <v>2502000000</v>
      </c>
      <c r="K26" s="23" t="n">
        <v>115500000</v>
      </c>
      <c r="L26" s="23" t="n">
        <v>1540100000</v>
      </c>
      <c r="M26" s="23" t="n">
        <v>-360400000</v>
      </c>
      <c r="N26" s="23" t="n">
        <v>1179700000</v>
      </c>
      <c r="O26" s="23" t="n">
        <v>83000000</v>
      </c>
      <c r="P26" s="23" t="n">
        <v>5050900000</v>
      </c>
      <c r="Q26" s="23" t="n">
        <v>1241400000</v>
      </c>
      <c r="R26" s="23" t="n">
        <v>6379100000</v>
      </c>
      <c r="S26" s="4" t="n">
        <v>32.8872180451128</v>
      </c>
    </row>
    <row r="27" customFormat="false" ht="15" hidden="false" customHeight="false" outlineLevel="0" collapsed="false">
      <c r="A27" s="4" t="s">
        <v>125</v>
      </c>
      <c r="B27" s="4" t="n">
        <v>2025</v>
      </c>
      <c r="C27" s="4" t="s">
        <v>103</v>
      </c>
      <c r="D27" s="23" t="n">
        <v>5480717000</v>
      </c>
      <c r="E27" s="23" t="n">
        <v>4815577000</v>
      </c>
      <c r="F27" s="23" t="n">
        <v>4151914000</v>
      </c>
      <c r="G27" s="23" t="n">
        <v>4354704000</v>
      </c>
      <c r="H27" s="23" t="n">
        <v>3333764000</v>
      </c>
      <c r="I27" s="4" t="n">
        <v>9.75</v>
      </c>
      <c r="J27" s="23" t="n">
        <v>341970000</v>
      </c>
      <c r="K27" s="23" t="n">
        <v>207016000</v>
      </c>
      <c r="L27" s="23" t="n">
        <v>3971094000</v>
      </c>
      <c r="M27" s="23" t="n">
        <v>-28318000</v>
      </c>
      <c r="N27" s="23" t="n">
        <v>3942776000</v>
      </c>
      <c r="O27" s="23" t="n">
        <v>210421000</v>
      </c>
      <c r="P27" s="23" t="n">
        <v>3544741000</v>
      </c>
      <c r="Q27" s="23" t="n">
        <v>2487096000</v>
      </c>
      <c r="R27" s="23" t="n">
        <v>2134671000</v>
      </c>
      <c r="S27" s="4" t="n">
        <v>68.4776422764228</v>
      </c>
    </row>
    <row r="28" customFormat="false" ht="15" hidden="false" customHeight="false" outlineLevel="0" collapsed="false">
      <c r="A28" s="4" t="s">
        <v>125</v>
      </c>
      <c r="B28" s="4" t="n">
        <v>2024</v>
      </c>
      <c r="C28" s="4" t="s">
        <v>572</v>
      </c>
      <c r="D28" s="23" t="n">
        <v>3224058000</v>
      </c>
      <c r="E28" s="23" t="n">
        <v>2703445000</v>
      </c>
      <c r="F28" s="23" t="n">
        <v>1910956000</v>
      </c>
      <c r="G28" s="23" t="n">
        <v>2377832000</v>
      </c>
      <c r="H28" s="23" t="n">
        <v>1579790000</v>
      </c>
      <c r="I28" s="4" t="n">
        <v>4.53</v>
      </c>
      <c r="J28" s="23" t="n">
        <v>347807555</v>
      </c>
      <c r="K28" s="23" t="n">
        <v>317209000</v>
      </c>
      <c r="L28" s="23" t="n">
        <v>2099011000</v>
      </c>
      <c r="M28" s="23" t="n">
        <v>-4776000</v>
      </c>
      <c r="N28" s="23" t="n">
        <v>2094235000</v>
      </c>
      <c r="O28" s="23" t="n">
        <v>369367000</v>
      </c>
      <c r="P28" s="23" t="n">
        <v>3556405000</v>
      </c>
      <c r="Q28" s="23" t="n">
        <v>741411000</v>
      </c>
      <c r="R28" s="23" t="n">
        <v>1089818000</v>
      </c>
      <c r="S28" s="4" t="n">
        <v>69.1944444444444</v>
      </c>
    </row>
    <row r="29" customFormat="false" ht="15" hidden="false" customHeight="false" outlineLevel="0" collapsed="false">
      <c r="A29" s="4" t="s">
        <v>125</v>
      </c>
      <c r="B29" s="4" t="n">
        <v>2023</v>
      </c>
      <c r="C29" s="4" t="s">
        <v>573</v>
      </c>
      <c r="D29" s="23" t="n">
        <v>1841762000</v>
      </c>
      <c r="E29" s="23" t="n">
        <v>1485149000</v>
      </c>
      <c r="F29" s="23" t="n">
        <v>772411000</v>
      </c>
      <c r="G29" s="23" t="n">
        <v>1264118000</v>
      </c>
      <c r="H29" s="23" t="n">
        <v>357211000</v>
      </c>
      <c r="I29" s="4" t="n">
        <v>0.98</v>
      </c>
      <c r="J29" s="23" t="n">
        <v>362589246</v>
      </c>
      <c r="K29" s="23" t="n">
        <v>273508000</v>
      </c>
      <c r="L29" s="23" t="n">
        <v>1061510000</v>
      </c>
      <c r="M29" s="23" t="n">
        <v>-4246000</v>
      </c>
      <c r="N29" s="23" t="n">
        <v>1057264000</v>
      </c>
      <c r="O29" s="23" t="n">
        <v>363107000</v>
      </c>
      <c r="P29" s="23" t="n">
        <v>3177416000</v>
      </c>
      <c r="Q29" s="23" t="n">
        <v>502152000</v>
      </c>
      <c r="R29" s="23" t="n">
        <v>1256329000</v>
      </c>
      <c r="S29" s="4" t="n">
        <v>39.4554455445545</v>
      </c>
    </row>
    <row r="30" customFormat="false" ht="15" hidden="false" customHeight="false" outlineLevel="0" collapsed="false">
      <c r="A30" s="4" t="s">
        <v>125</v>
      </c>
      <c r="B30" s="4" t="n">
        <v>2022</v>
      </c>
      <c r="C30" s="4" t="s">
        <v>574</v>
      </c>
      <c r="D30" s="23" t="n">
        <v>2817058000</v>
      </c>
      <c r="E30" s="23" t="n">
        <v>1560993000</v>
      </c>
      <c r="F30" s="23" t="n">
        <v>-47791000</v>
      </c>
      <c r="G30" s="23" t="n">
        <v>513770000</v>
      </c>
      <c r="H30" s="23" t="n">
        <v>-192746000</v>
      </c>
      <c r="I30" s="4" t="n">
        <v>-0.52</v>
      </c>
      <c r="J30" s="23" t="n">
        <v>371568011</v>
      </c>
      <c r="K30" s="23" t="n">
        <v>171863000</v>
      </c>
      <c r="L30" s="23" t="n">
        <v>412773000</v>
      </c>
      <c r="M30" s="23" t="n">
        <v>-662000</v>
      </c>
      <c r="N30" s="23" t="n">
        <v>412111000</v>
      </c>
      <c r="O30" s="23" t="n">
        <v>191612000</v>
      </c>
      <c r="P30" s="23" t="n">
        <v>3280209000</v>
      </c>
      <c r="Q30" s="23" t="n">
        <v>1080484000</v>
      </c>
      <c r="R30" s="23" t="n">
        <v>1902677000</v>
      </c>
      <c r="S30" s="4" t="n">
        <v>-20.25</v>
      </c>
    </row>
    <row r="31" customFormat="false" ht="15" hidden="false" customHeight="false" outlineLevel="0" collapsed="false">
      <c r="A31" s="4" t="s">
        <v>125</v>
      </c>
      <c r="B31" s="4" t="n">
        <v>2021</v>
      </c>
      <c r="C31" s="4" t="s">
        <v>575</v>
      </c>
      <c r="D31" s="23" t="n">
        <v>2793104000</v>
      </c>
      <c r="E31" s="23" t="n">
        <v>1805009000</v>
      </c>
      <c r="F31" s="23" t="n">
        <v>150016000</v>
      </c>
      <c r="G31" s="23" t="n">
        <v>580544000</v>
      </c>
      <c r="H31" s="23" t="n">
        <v>35446000</v>
      </c>
      <c r="I31" s="4" t="n">
        <v>0.093</v>
      </c>
      <c r="J31" s="23" t="n">
        <v>342763632</v>
      </c>
      <c r="K31" s="23" t="n">
        <v>103170000</v>
      </c>
      <c r="L31" s="23" t="n">
        <v>361851000</v>
      </c>
      <c r="M31" s="23" t="n">
        <v>-1390000</v>
      </c>
      <c r="N31" s="23" t="n">
        <v>360461000</v>
      </c>
      <c r="O31" s="23" t="n">
        <v>133177000</v>
      </c>
      <c r="P31" s="23" t="n">
        <v>3330533000</v>
      </c>
      <c r="Q31" s="23" t="n">
        <v>1520504000</v>
      </c>
      <c r="R31" s="23" t="n">
        <v>2138291000</v>
      </c>
      <c r="S31" s="4" t="n">
        <v>965.77868852459</v>
      </c>
    </row>
    <row r="32" customFormat="false" ht="15" hidden="false" customHeight="false" outlineLevel="0" collapsed="false">
      <c r="A32" s="4" t="s">
        <v>129</v>
      </c>
      <c r="B32" s="4" t="n">
        <v>2025</v>
      </c>
      <c r="C32" s="4" t="s">
        <v>103</v>
      </c>
      <c r="D32" s="23" t="n">
        <v>32667300000</v>
      </c>
      <c r="E32" s="23" t="n">
        <v>17258000000</v>
      </c>
      <c r="F32" s="23" t="n">
        <v>11301400000</v>
      </c>
      <c r="G32" s="23" t="n">
        <v>12432000000</v>
      </c>
      <c r="H32" s="23" t="n">
        <v>9609400000</v>
      </c>
      <c r="I32" s="4" t="n">
        <v>24.71</v>
      </c>
      <c r="J32" s="23" t="n">
        <v>388900000</v>
      </c>
      <c r="K32" s="23" t="n">
        <v>0</v>
      </c>
      <c r="L32" s="23" t="n">
        <v>12658500000</v>
      </c>
      <c r="M32" s="23" t="n">
        <v>-1573600000</v>
      </c>
      <c r="N32" s="23" t="n">
        <v>11084900000</v>
      </c>
      <c r="O32" s="23" t="n">
        <v>0</v>
      </c>
      <c r="P32" s="23" t="n">
        <v>4390900000</v>
      </c>
      <c r="Q32" s="23" t="n">
        <v>13321900000</v>
      </c>
      <c r="R32" s="23" t="n">
        <v>19612200000</v>
      </c>
      <c r="S32" s="4" t="n">
        <v>36.8199695107157</v>
      </c>
    </row>
    <row r="33" customFormat="false" ht="15" hidden="false" customHeight="false" outlineLevel="0" collapsed="false">
      <c r="A33" s="4" t="s">
        <v>129</v>
      </c>
      <c r="B33" s="4" t="n">
        <v>2024</v>
      </c>
      <c r="C33" s="4" t="s">
        <v>572</v>
      </c>
      <c r="D33" s="23" t="n">
        <v>28262900000</v>
      </c>
      <c r="E33" s="23" t="n">
        <v>14080900000</v>
      </c>
      <c r="F33" s="23" t="n">
        <v>9022600000</v>
      </c>
      <c r="G33" s="23" t="n">
        <v>10114700000</v>
      </c>
      <c r="H33" s="23" t="n">
        <v>7571600000</v>
      </c>
      <c r="I33" s="4" t="n">
        <v>19.24</v>
      </c>
      <c r="J33" s="23" t="n">
        <v>393600000</v>
      </c>
      <c r="K33" s="23" t="n">
        <v>153700000</v>
      </c>
      <c r="L33" s="23" t="n">
        <v>11166200000</v>
      </c>
      <c r="M33" s="23" t="n">
        <v>-2083100000</v>
      </c>
      <c r="N33" s="23" t="n">
        <v>9083100000</v>
      </c>
      <c r="O33" s="23" t="n">
        <v>172600000</v>
      </c>
      <c r="P33" s="23" t="n">
        <v>4687600000</v>
      </c>
      <c r="Q33" s="23" t="n">
        <v>12741300000</v>
      </c>
      <c r="R33" s="23" t="n">
        <v>18476800000</v>
      </c>
      <c r="S33" s="4" t="n">
        <v>34.7692132987013</v>
      </c>
    </row>
    <row r="34" customFormat="false" ht="15" hidden="false" customHeight="false" outlineLevel="0" collapsed="false">
      <c r="A34" s="4" t="s">
        <v>129</v>
      </c>
      <c r="B34" s="4" t="n">
        <v>2023</v>
      </c>
      <c r="C34" s="4" t="s">
        <v>573</v>
      </c>
      <c r="D34" s="23" t="n">
        <v>27558500000</v>
      </c>
      <c r="E34" s="23" t="n">
        <v>13836000000</v>
      </c>
      <c r="F34" s="23" t="n">
        <v>9042300000</v>
      </c>
      <c r="G34" s="23" t="n">
        <v>10021800000</v>
      </c>
      <c r="H34" s="23" t="n">
        <v>7839000000</v>
      </c>
      <c r="I34" s="4" t="n">
        <v>19.89</v>
      </c>
      <c r="J34" s="23" t="n">
        <v>394100000</v>
      </c>
      <c r="K34" s="23" t="n">
        <v>152100000</v>
      </c>
      <c r="L34" s="23" t="n">
        <v>5443400000</v>
      </c>
      <c r="M34" s="23" t="n">
        <v>-2196200000</v>
      </c>
      <c r="N34" s="23" t="n">
        <v>3247200000</v>
      </c>
      <c r="O34" s="23" t="n">
        <v>134800000</v>
      </c>
      <c r="P34" s="23" t="n">
        <v>4631600000</v>
      </c>
      <c r="Q34" s="23" t="n">
        <v>7010100000</v>
      </c>
      <c r="R34" s="23" t="n">
        <v>13452400000</v>
      </c>
      <c r="S34" s="4" t="n">
        <v>32.5764703164239</v>
      </c>
    </row>
    <row r="35" customFormat="false" ht="15" hidden="false" customHeight="false" outlineLevel="0" collapsed="false">
      <c r="A35" s="4" t="s">
        <v>129</v>
      </c>
      <c r="B35" s="4" t="n">
        <v>2022</v>
      </c>
      <c r="C35" s="4" t="s">
        <v>574</v>
      </c>
      <c r="D35" s="23" t="n">
        <v>21173400000</v>
      </c>
      <c r="E35" s="23" t="n">
        <v>10473900000</v>
      </c>
      <c r="F35" s="23" t="n">
        <v>6500700000</v>
      </c>
      <c r="G35" s="23" t="n">
        <v>7100500000</v>
      </c>
      <c r="H35" s="23" t="n">
        <v>5624200000</v>
      </c>
      <c r="I35" s="4" t="n">
        <v>14.13</v>
      </c>
      <c r="J35" s="23" t="n">
        <v>398000000</v>
      </c>
      <c r="K35" s="23" t="n">
        <v>60800000</v>
      </c>
      <c r="L35" s="23" t="n">
        <v>8486800000</v>
      </c>
      <c r="M35" s="23" t="n">
        <v>-1281799999</v>
      </c>
      <c r="N35" s="23" t="n">
        <v>7222500000</v>
      </c>
      <c r="O35" s="23" t="n">
        <v>68900000</v>
      </c>
      <c r="P35" s="23" t="n">
        <v>4260400000</v>
      </c>
      <c r="Q35" s="23" t="n">
        <v>7376000000</v>
      </c>
      <c r="R35" s="23" t="n">
        <v>8810800000</v>
      </c>
      <c r="S35" s="4" t="n">
        <v>36.0879038189533</v>
      </c>
    </row>
    <row r="36" customFormat="false" ht="15" hidden="false" customHeight="false" outlineLevel="0" collapsed="false">
      <c r="A36" s="4" t="s">
        <v>129</v>
      </c>
      <c r="B36" s="4" t="n">
        <v>2021</v>
      </c>
      <c r="C36" s="4" t="s">
        <v>575</v>
      </c>
      <c r="D36" s="23" t="n">
        <v>18611000000</v>
      </c>
      <c r="E36" s="23" t="n">
        <v>9650800000</v>
      </c>
      <c r="F36" s="23" t="n">
        <v>6536400000</v>
      </c>
      <c r="G36" s="23" t="n">
        <v>7231100000</v>
      </c>
      <c r="H36" s="23" t="n">
        <v>5883200000</v>
      </c>
      <c r="I36" s="4" t="n">
        <v>14.34</v>
      </c>
      <c r="J36" s="23" t="n">
        <v>410400000</v>
      </c>
      <c r="K36" s="23" t="n">
        <v>54600000</v>
      </c>
      <c r="L36" s="23" t="n">
        <v>10845800000</v>
      </c>
      <c r="M36" s="23" t="n">
        <v>-940300000</v>
      </c>
      <c r="N36" s="23" t="n">
        <v>9905500000</v>
      </c>
      <c r="O36" s="23" t="n">
        <v>117500000</v>
      </c>
      <c r="P36" s="23" t="n">
        <v>4584100000</v>
      </c>
      <c r="Q36" s="23" t="n">
        <v>7590300000</v>
      </c>
      <c r="R36" s="23" t="n">
        <v>10140600000</v>
      </c>
      <c r="S36" s="4" t="n">
        <v>48.7552587743733</v>
      </c>
    </row>
    <row r="37" customFormat="false" ht="15" hidden="false" customHeight="false" outlineLevel="0" collapsed="false">
      <c r="A37" s="4" t="s">
        <v>133</v>
      </c>
      <c r="B37" s="4" t="n">
        <v>2025</v>
      </c>
      <c r="C37" s="4" t="s">
        <v>103</v>
      </c>
      <c r="D37" s="23" t="n">
        <v>80464000000</v>
      </c>
      <c r="E37" s="23" t="n">
        <v>66974000000</v>
      </c>
      <c r="F37" s="23" t="n">
        <v>13795000000</v>
      </c>
      <c r="G37" s="23" t="n">
        <v>15572000000</v>
      </c>
      <c r="H37" s="23" t="n">
        <v>10833000000</v>
      </c>
      <c r="I37" s="4" t="n">
        <v>15.38</v>
      </c>
      <c r="J37" s="23" t="n">
        <v>696000000</v>
      </c>
      <c r="K37" s="23" t="n">
        <v>8234000000</v>
      </c>
      <c r="L37" s="23" t="n">
        <v>18428000000</v>
      </c>
      <c r="M37" s="23" t="n">
        <v>-2425000000</v>
      </c>
      <c r="N37" s="23" t="n">
        <v>16003000000</v>
      </c>
      <c r="O37" s="23" t="n">
        <v>551000000</v>
      </c>
      <c r="P37" s="23" t="n">
        <v>57759000000</v>
      </c>
      <c r="Q37" s="23" t="n">
        <v>48534000000</v>
      </c>
      <c r="R37" s="23" t="n">
        <v>33474000000</v>
      </c>
      <c r="S37" s="4" t="n">
        <v>24.0071382219338</v>
      </c>
    </row>
    <row r="38" customFormat="false" ht="15" hidden="false" customHeight="false" outlineLevel="0" collapsed="false">
      <c r="A38" s="4" t="s">
        <v>133</v>
      </c>
      <c r="B38" s="4" t="n">
        <v>2024</v>
      </c>
      <c r="C38" s="4" t="s">
        <v>572</v>
      </c>
      <c r="D38" s="23" t="n">
        <v>74201000000</v>
      </c>
      <c r="E38" s="23" t="n">
        <v>60764000000</v>
      </c>
      <c r="F38" s="23" t="n">
        <v>12895000000</v>
      </c>
      <c r="G38" s="23" t="n">
        <v>14571000000</v>
      </c>
      <c r="H38" s="23" t="n">
        <v>10129000000</v>
      </c>
      <c r="I38" s="4" t="n">
        <v>14.02</v>
      </c>
      <c r="J38" s="23" t="n">
        <v>713000000</v>
      </c>
      <c r="K38" s="23" t="n">
        <v>8252000000</v>
      </c>
      <c r="L38" s="23" t="n">
        <v>14050000000</v>
      </c>
      <c r="M38" s="23" t="n">
        <v>-1911000000</v>
      </c>
      <c r="N38" s="23" t="n">
        <v>12139000000</v>
      </c>
      <c r="O38" s="23" t="n">
        <v>504000000</v>
      </c>
      <c r="P38" s="23" t="n">
        <v>51089000000</v>
      </c>
      <c r="Q38" s="23" t="n">
        <v>41744000000</v>
      </c>
      <c r="R38" s="23" t="n">
        <v>30264000000</v>
      </c>
      <c r="S38" s="4" t="n">
        <v>21.1388888888889</v>
      </c>
    </row>
    <row r="39" customFormat="false" ht="15" hidden="false" customHeight="false" outlineLevel="0" collapsed="false">
      <c r="A39" s="4" t="s">
        <v>133</v>
      </c>
      <c r="B39" s="4" t="n">
        <v>2023</v>
      </c>
      <c r="C39" s="4" t="s">
        <v>573</v>
      </c>
      <c r="D39" s="23" t="n">
        <v>67364000000</v>
      </c>
      <c r="E39" s="23" t="n">
        <v>55592000000</v>
      </c>
      <c r="F39" s="23" t="n">
        <v>10513000000</v>
      </c>
      <c r="G39" s="23" t="n">
        <v>12164000000</v>
      </c>
      <c r="H39" s="23" t="n">
        <v>8374000000</v>
      </c>
      <c r="I39" s="4" t="n">
        <v>11.21</v>
      </c>
      <c r="J39" s="23" t="n">
        <v>736000000</v>
      </c>
      <c r="K39" s="23" t="n">
        <v>6849000000</v>
      </c>
      <c r="L39" s="23" t="n">
        <v>18559000000</v>
      </c>
      <c r="M39" s="23" t="n">
        <v>-1563000000</v>
      </c>
      <c r="N39" s="23" t="n">
        <v>16996000000</v>
      </c>
      <c r="O39" s="23" t="n">
        <v>450000000</v>
      </c>
      <c r="P39" s="23" t="n">
        <v>49159000000</v>
      </c>
      <c r="Q39" s="23" t="n">
        <v>48650000000</v>
      </c>
      <c r="R39" s="23" t="n">
        <v>28057000000</v>
      </c>
      <c r="S39" s="4" t="n">
        <v>16.6821015138023</v>
      </c>
    </row>
    <row r="40" customFormat="false" ht="15" hidden="false" customHeight="false" outlineLevel="0" collapsed="false">
      <c r="A40" s="4" t="s">
        <v>133</v>
      </c>
      <c r="B40" s="4" t="n">
        <v>2022</v>
      </c>
      <c r="C40" s="4" t="s">
        <v>574</v>
      </c>
      <c r="D40" s="23" t="n">
        <v>55625000000</v>
      </c>
      <c r="E40" s="23" t="n">
        <v>50680000000</v>
      </c>
      <c r="F40" s="23" t="n">
        <v>9585000000</v>
      </c>
      <c r="G40" s="23" t="n">
        <v>11211000000</v>
      </c>
      <c r="H40" s="23" t="n">
        <v>7514000000</v>
      </c>
      <c r="I40" s="4" t="n">
        <v>9.84</v>
      </c>
      <c r="J40" s="23" t="n">
        <v>752000000</v>
      </c>
      <c r="K40" s="23" t="n">
        <v>2763000000</v>
      </c>
      <c r="L40" s="23" t="n">
        <v>21079000000</v>
      </c>
      <c r="M40" s="23" t="n">
        <v>-1855000000</v>
      </c>
      <c r="N40" s="23" t="n">
        <v>19224000000</v>
      </c>
      <c r="O40" s="23" t="n">
        <v>375000000</v>
      </c>
      <c r="P40" s="23" t="n">
        <v>43921000000</v>
      </c>
      <c r="Q40" s="23" t="n">
        <v>38392000000</v>
      </c>
      <c r="R40" s="23" t="n">
        <v>24711000000</v>
      </c>
      <c r="S40" s="4" t="n">
        <v>15</v>
      </c>
    </row>
    <row r="41" customFormat="false" ht="15" hidden="false" customHeight="false" outlineLevel="0" collapsed="false">
      <c r="A41" s="4" t="s">
        <v>133</v>
      </c>
      <c r="B41" s="4" t="n">
        <v>2021</v>
      </c>
      <c r="C41" s="4" t="s">
        <v>575</v>
      </c>
      <c r="D41" s="23" t="n">
        <v>44430000000</v>
      </c>
      <c r="E41" s="23" t="n">
        <v>44566000000</v>
      </c>
      <c r="F41" s="23" t="n">
        <v>10689000000</v>
      </c>
      <c r="G41" s="23" t="n">
        <v>12384000000</v>
      </c>
      <c r="H41" s="23" t="n">
        <v>8060000000</v>
      </c>
      <c r="I41" s="4" t="n">
        <v>10.02</v>
      </c>
      <c r="J41" s="23" t="n">
        <v>790000000</v>
      </c>
      <c r="K41" s="23" t="n">
        <v>1283000000</v>
      </c>
      <c r="L41" s="23" t="n">
        <v>14645000000</v>
      </c>
      <c r="M41" s="23" t="n">
        <v>-1550000000</v>
      </c>
      <c r="N41" s="23" t="n">
        <v>13095000000</v>
      </c>
      <c r="O41" s="23" t="n">
        <v>330000000</v>
      </c>
      <c r="P41" s="23" t="n">
        <v>40918000000</v>
      </c>
      <c r="Q41" s="23" t="n">
        <v>24497000000</v>
      </c>
      <c r="R41" s="23" t="n">
        <v>22177000000</v>
      </c>
      <c r="S41" s="4" t="n">
        <v>16.3110667996012</v>
      </c>
    </row>
    <row r="42" customFormat="false" ht="15" hidden="false" customHeight="false" outlineLevel="0" collapsed="false">
      <c r="A42" s="4" t="s">
        <v>139</v>
      </c>
      <c r="B42" s="4" t="n">
        <v>2025</v>
      </c>
      <c r="C42" s="4" t="s">
        <v>103</v>
      </c>
      <c r="D42" s="23" t="n">
        <v>191567000000</v>
      </c>
      <c r="E42" s="23" t="n">
        <v>107422000000</v>
      </c>
      <c r="F42" s="23" t="n">
        <v>37695000000</v>
      </c>
      <c r="G42" s="23" t="n">
        <v>40009000000</v>
      </c>
      <c r="H42" s="23" t="n">
        <v>30509000000</v>
      </c>
      <c r="I42" s="4" t="n">
        <v>3.82</v>
      </c>
      <c r="J42" s="23" t="n">
        <v>7546900000</v>
      </c>
      <c r="K42" s="23" t="n">
        <v>78470000000</v>
      </c>
      <c r="L42" s="23" t="n">
        <v>12613000000</v>
      </c>
      <c r="M42" s="23" t="n">
        <v>0</v>
      </c>
      <c r="N42" s="23" t="n">
        <v>12613000000</v>
      </c>
      <c r="O42" s="23" t="n">
        <v>4001000000</v>
      </c>
      <c r="P42" s="23" t="n">
        <v>365904000000</v>
      </c>
      <c r="Q42" s="23" t="n">
        <v>963732000000</v>
      </c>
      <c r="R42" s="23" t="n">
        <v>303243000000</v>
      </c>
      <c r="S42" s="4" t="n">
        <v>14.1752577319588</v>
      </c>
    </row>
    <row r="43" customFormat="false" ht="15" hidden="false" customHeight="false" outlineLevel="0" collapsed="false">
      <c r="A43" s="4" t="s">
        <v>139</v>
      </c>
      <c r="B43" s="4" t="n">
        <v>2024</v>
      </c>
      <c r="C43" s="4" t="s">
        <v>572</v>
      </c>
      <c r="D43" s="23" t="n">
        <v>192434000000</v>
      </c>
      <c r="E43" s="23" t="n">
        <v>96066000000</v>
      </c>
      <c r="F43" s="23" t="n">
        <v>29254000000</v>
      </c>
      <c r="G43" s="23" t="n">
        <v>31443000000</v>
      </c>
      <c r="H43" s="23" t="n">
        <v>27132000000</v>
      </c>
      <c r="I43" s="4" t="n">
        <v>3.22</v>
      </c>
      <c r="J43" s="23" t="n">
        <v>7843700000</v>
      </c>
      <c r="K43" s="23" t="n">
        <v>90547000000</v>
      </c>
      <c r="L43" s="23" t="n">
        <v>-8805000000</v>
      </c>
      <c r="M43" s="23" t="n">
        <v>0</v>
      </c>
      <c r="N43" s="23" t="n">
        <v>-8805000000</v>
      </c>
      <c r="O43" s="23" t="n">
        <v>3433000000</v>
      </c>
      <c r="P43" s="23" t="n">
        <v>658428000000</v>
      </c>
      <c r="Q43" s="23" t="n">
        <v>642918000000</v>
      </c>
      <c r="R43" s="23" t="n">
        <v>295559000000</v>
      </c>
      <c r="S43" s="4" t="n">
        <v>13.5230769230769</v>
      </c>
    </row>
    <row r="44" customFormat="false" ht="15" hidden="false" customHeight="false" outlineLevel="0" collapsed="false">
      <c r="A44" s="4" t="s">
        <v>139</v>
      </c>
      <c r="B44" s="4" t="n">
        <v>2023</v>
      </c>
      <c r="C44" s="4" t="s">
        <v>573</v>
      </c>
      <c r="D44" s="23" t="n">
        <v>171912000000</v>
      </c>
      <c r="E44" s="23" t="n">
        <v>94187000000</v>
      </c>
      <c r="F44" s="23" t="n">
        <v>28342000000</v>
      </c>
      <c r="G44" s="23" t="n">
        <v>30399000000</v>
      </c>
      <c r="H44" s="23" t="n">
        <v>26515000000</v>
      </c>
      <c r="I44" s="4" t="n">
        <v>3.08</v>
      </c>
      <c r="J44" s="23" t="n">
        <v>8080500000</v>
      </c>
      <c r="K44" s="23" t="n">
        <v>73331000000</v>
      </c>
      <c r="L44" s="23" t="n">
        <v>44982000000</v>
      </c>
      <c r="M44" s="23" t="n">
        <v>0</v>
      </c>
      <c r="N44" s="23" t="n">
        <v>44982000000</v>
      </c>
      <c r="O44" s="23" t="n">
        <v>2942000000</v>
      </c>
      <c r="P44" s="23" t="n">
        <v>618189000000</v>
      </c>
      <c r="Q44" s="23" t="n">
        <v>608068000000</v>
      </c>
      <c r="R44" s="23" t="n">
        <v>291646000000</v>
      </c>
      <c r="S44" s="4" t="n">
        <v>10.8612903225807</v>
      </c>
    </row>
    <row r="45" customFormat="false" ht="15" hidden="false" customHeight="false" outlineLevel="0" collapsed="false">
      <c r="A45" s="4" t="s">
        <v>139</v>
      </c>
      <c r="B45" s="4" t="n">
        <v>2022</v>
      </c>
      <c r="C45" s="4" t="s">
        <v>574</v>
      </c>
      <c r="D45" s="23" t="n">
        <v>115053000000</v>
      </c>
      <c r="E45" s="23" t="n">
        <v>92407000000</v>
      </c>
      <c r="F45" s="23" t="n">
        <v>30969000000</v>
      </c>
      <c r="G45" s="23" t="n">
        <v>32947000000</v>
      </c>
      <c r="H45" s="23" t="n">
        <v>27528000000</v>
      </c>
      <c r="I45" s="4" t="n">
        <v>3.19</v>
      </c>
      <c r="J45" s="23" t="n">
        <v>8167500000</v>
      </c>
      <c r="K45" s="23" t="n">
        <v>20103000000</v>
      </c>
      <c r="L45" s="23" t="n">
        <v>-6327000000</v>
      </c>
      <c r="M45" s="23" t="n">
        <v>0</v>
      </c>
      <c r="N45" s="23" t="n">
        <v>-6327000000</v>
      </c>
      <c r="O45" s="23" t="n">
        <v>2862000000</v>
      </c>
      <c r="P45" s="23" t="n">
        <v>498549000000</v>
      </c>
      <c r="Q45" s="23" t="n">
        <v>458250000000</v>
      </c>
      <c r="R45" s="23" t="n">
        <v>273197000000</v>
      </c>
      <c r="S45" s="4" t="n">
        <v>10.3177570093458</v>
      </c>
    </row>
    <row r="46" customFormat="false" ht="15" hidden="false" customHeight="false" outlineLevel="0" collapsed="false">
      <c r="A46" s="4" t="s">
        <v>139</v>
      </c>
      <c r="B46" s="4" t="n">
        <v>2021</v>
      </c>
      <c r="C46" s="4" t="s">
        <v>575</v>
      </c>
      <c r="D46" s="23" t="n">
        <v>93851000000</v>
      </c>
      <c r="E46" s="23" t="n">
        <v>93707000000</v>
      </c>
      <c r="F46" s="23" t="n">
        <v>33976000000</v>
      </c>
      <c r="G46" s="23" t="n">
        <v>35874000000</v>
      </c>
      <c r="H46" s="23" t="n">
        <v>31978000000</v>
      </c>
      <c r="I46" s="4" t="n">
        <v>3.57</v>
      </c>
      <c r="J46" s="23" t="n">
        <v>8558400000</v>
      </c>
      <c r="K46" s="23" t="n">
        <v>4738000000</v>
      </c>
      <c r="L46" s="23" t="n">
        <v>-7193000000</v>
      </c>
      <c r="M46" s="23" t="n">
        <v>0</v>
      </c>
      <c r="N46" s="23" t="n">
        <v>-7193000000</v>
      </c>
      <c r="O46" s="23" t="n">
        <v>2768000000</v>
      </c>
      <c r="P46" s="23" t="n">
        <v>496199000000</v>
      </c>
      <c r="Q46" s="23" t="n">
        <v>654543000000</v>
      </c>
      <c r="R46" s="23" t="n">
        <v>270066000000</v>
      </c>
      <c r="S46" s="4" t="n">
        <v>12.3583333333333</v>
      </c>
    </row>
    <row r="47" customFormat="false" ht="15" hidden="false" customHeight="false" outlineLevel="0" collapsed="false">
      <c r="A47" s="4" t="s">
        <v>143</v>
      </c>
      <c r="B47" s="4" t="n">
        <v>2025</v>
      </c>
      <c r="C47" s="4" t="s">
        <v>103</v>
      </c>
      <c r="D47" s="23" t="n">
        <v>26917000000</v>
      </c>
      <c r="E47" s="23" t="n">
        <v>26917000000</v>
      </c>
      <c r="F47" s="23" t="n">
        <v>9282000000</v>
      </c>
      <c r="G47" s="23" t="n">
        <v>9217000000</v>
      </c>
      <c r="H47" s="23" t="n">
        <v>5404000000</v>
      </c>
      <c r="I47" s="4" t="n">
        <v>6.62</v>
      </c>
      <c r="J47" s="23" t="n">
        <v>815975000</v>
      </c>
      <c r="K47" s="23" t="n">
        <v>1617000000</v>
      </c>
      <c r="L47" s="23" t="n">
        <v>9409000000</v>
      </c>
      <c r="M47" s="23" t="n">
        <v>-322000000</v>
      </c>
      <c r="N47" s="23" t="n">
        <v>9087000000</v>
      </c>
      <c r="O47" s="23" t="n">
        <v>617000000</v>
      </c>
      <c r="P47" s="23" t="n">
        <v>19293000000</v>
      </c>
      <c r="Q47" s="23" t="n">
        <v>17785000000</v>
      </c>
      <c r="R47" s="23" t="n">
        <v>-5578000000</v>
      </c>
      <c r="S47" s="4" t="n">
        <v>32.1636636636637</v>
      </c>
    </row>
    <row r="48" customFormat="false" ht="15" hidden="false" customHeight="false" outlineLevel="0" collapsed="false">
      <c r="A48" s="4" t="s">
        <v>143</v>
      </c>
      <c r="B48" s="4" t="n">
        <v>2024</v>
      </c>
      <c r="C48" s="4" t="s">
        <v>572</v>
      </c>
      <c r="D48" s="23" t="n">
        <v>23739000000</v>
      </c>
      <c r="E48" s="23" t="n">
        <v>23739000000</v>
      </c>
      <c r="F48" s="23" t="n">
        <v>7555000000</v>
      </c>
      <c r="G48" s="23" t="n">
        <v>9338000000</v>
      </c>
      <c r="H48" s="23" t="n">
        <v>5882000000</v>
      </c>
      <c r="I48" s="4" t="n">
        <v>6.9076</v>
      </c>
      <c r="J48" s="23" t="n">
        <v>851600000</v>
      </c>
      <c r="K48" s="23" t="n">
        <v>1295000000</v>
      </c>
      <c r="L48" s="23" t="n">
        <v>8323000000</v>
      </c>
      <c r="M48" s="23" t="n">
        <v>-429000000</v>
      </c>
      <c r="N48" s="23" t="n">
        <v>7894000000</v>
      </c>
      <c r="O48" s="23" t="n">
        <v>599000000</v>
      </c>
      <c r="P48" s="23" t="n">
        <v>17081000000</v>
      </c>
      <c r="Q48" s="23" t="n">
        <v>16164000000</v>
      </c>
      <c r="R48" s="23" t="n">
        <v>-4020000000</v>
      </c>
      <c r="S48" s="4" t="n">
        <v>28.3979195244627</v>
      </c>
    </row>
    <row r="49" customFormat="false" ht="15" hidden="false" customHeight="false" outlineLevel="0" collapsed="false">
      <c r="A49" s="4" t="s">
        <v>143</v>
      </c>
      <c r="B49" s="4" t="n">
        <v>2023</v>
      </c>
      <c r="C49" s="4" t="s">
        <v>573</v>
      </c>
      <c r="D49" s="23" t="n">
        <v>21365000000</v>
      </c>
      <c r="E49" s="23" t="n">
        <v>21365000000</v>
      </c>
      <c r="F49" s="23" t="n">
        <v>5835000000</v>
      </c>
      <c r="G49" s="23" t="n">
        <v>7043000000</v>
      </c>
      <c r="H49" s="23" t="n">
        <v>4289000000</v>
      </c>
      <c r="I49" s="4" t="n">
        <v>4.696</v>
      </c>
      <c r="J49" s="23" t="n">
        <v>913250000</v>
      </c>
      <c r="K49" s="23" t="n">
        <v>897000000</v>
      </c>
      <c r="L49" s="23" t="n">
        <v>7344000000</v>
      </c>
      <c r="M49" s="23" t="n">
        <v>-345000000</v>
      </c>
      <c r="N49" s="23" t="n">
        <v>6999000000</v>
      </c>
      <c r="O49" s="23" t="n">
        <v>530000000</v>
      </c>
      <c r="P49" s="23" t="n">
        <v>14783000000</v>
      </c>
      <c r="Q49" s="23" t="n">
        <v>12683000000</v>
      </c>
      <c r="R49" s="23" t="n">
        <v>-2744000000</v>
      </c>
      <c r="S49" s="4" t="n">
        <v>29.8917165248167</v>
      </c>
    </row>
    <row r="50" customFormat="false" ht="15" hidden="false" customHeight="false" outlineLevel="0" collapsed="false">
      <c r="A50" s="4" t="s">
        <v>143</v>
      </c>
      <c r="B50" s="4" t="n">
        <v>2022</v>
      </c>
      <c r="C50" s="4" t="s">
        <v>574</v>
      </c>
      <c r="D50" s="23" t="n">
        <v>17090000000</v>
      </c>
      <c r="E50" s="23" t="n">
        <v>17090000000</v>
      </c>
      <c r="F50" s="23" t="n">
        <v>5102000000</v>
      </c>
      <c r="G50" s="23" t="n">
        <v>4921000000</v>
      </c>
      <c r="H50" s="23" t="n">
        <v>3058000000</v>
      </c>
      <c r="I50" s="4" t="n">
        <v>3.054</v>
      </c>
      <c r="J50" s="23" t="n">
        <v>1001300000</v>
      </c>
      <c r="K50" s="23" t="n">
        <v>391000000</v>
      </c>
      <c r="L50" s="23" t="n">
        <v>6554000000</v>
      </c>
      <c r="M50" s="23" t="n">
        <v>-368000000</v>
      </c>
      <c r="N50" s="23" t="n">
        <v>6186000000</v>
      </c>
      <c r="O50" s="23" t="n">
        <v>404000000</v>
      </c>
      <c r="P50" s="23" t="n">
        <v>13037000000</v>
      </c>
      <c r="Q50" s="23" t="n">
        <v>12426000000</v>
      </c>
      <c r="R50" s="23" t="n">
        <v>2782000000</v>
      </c>
      <c r="S50" s="4" t="n">
        <v>26.27444589309</v>
      </c>
    </row>
    <row r="51" customFormat="false" ht="15" hidden="false" customHeight="false" outlineLevel="0" collapsed="false">
      <c r="A51" s="4" t="s">
        <v>143</v>
      </c>
      <c r="B51" s="4" t="n">
        <v>2021</v>
      </c>
      <c r="C51" s="4" t="s">
        <v>575</v>
      </c>
      <c r="D51" s="23" t="n">
        <v>10958000000</v>
      </c>
      <c r="E51" s="23" t="n">
        <v>10958000000</v>
      </c>
      <c r="F51" s="23" t="n">
        <v>2496000000</v>
      </c>
      <c r="G51" s="23" t="n">
        <v>2398000000</v>
      </c>
      <c r="H51" s="23" t="n">
        <v>1165000000</v>
      </c>
      <c r="I51" s="4" t="n">
        <v>1.1268</v>
      </c>
      <c r="J51" s="23" t="n">
        <v>1034050000</v>
      </c>
      <c r="K51" s="23" t="n">
        <v>334000000</v>
      </c>
      <c r="L51" s="23" t="n">
        <v>2820000000</v>
      </c>
      <c r="M51" s="23" t="n">
        <v>-304000000</v>
      </c>
      <c r="N51" s="23" t="n">
        <v>2516000000</v>
      </c>
      <c r="O51" s="23" t="n">
        <v>376000000</v>
      </c>
      <c r="P51" s="23" t="n">
        <v>11277000000</v>
      </c>
      <c r="Q51" s="23" t="n">
        <v>11152000000</v>
      </c>
      <c r="R51" s="23" t="n">
        <v>6178000000</v>
      </c>
      <c r="S51" s="4" t="n">
        <v>84.5103909827404</v>
      </c>
    </row>
    <row r="52" customFormat="false" ht="15" hidden="false" customHeight="false" outlineLevel="0" collapsed="false">
      <c r="A52" s="4" t="s">
        <v>146</v>
      </c>
      <c r="B52" s="4" t="n">
        <v>2025</v>
      </c>
      <c r="C52" s="4" t="s">
        <v>103</v>
      </c>
      <c r="D52" s="23" t="n">
        <v>20074000000</v>
      </c>
      <c r="E52" s="23" t="n">
        <v>13853000000</v>
      </c>
      <c r="F52" s="23" t="n">
        <v>3971000000</v>
      </c>
      <c r="G52" s="23" t="n">
        <v>5102000000</v>
      </c>
      <c r="H52" s="23" t="n">
        <v>2886000000</v>
      </c>
      <c r="I52" s="4" t="n">
        <v>1.94</v>
      </c>
      <c r="J52" s="23" t="n">
        <v>1494500000</v>
      </c>
      <c r="K52" s="23" t="n">
        <v>349000000</v>
      </c>
      <c r="L52" s="23" t="n">
        <v>4534000000</v>
      </c>
      <c r="M52" s="23" t="n">
        <v>-876000000</v>
      </c>
      <c r="N52" s="23" t="n">
        <v>3658000000</v>
      </c>
      <c r="O52" s="23" t="n">
        <v>299000000</v>
      </c>
      <c r="P52" s="23" t="n">
        <v>12418000000</v>
      </c>
      <c r="Q52" s="23" t="n">
        <v>2045000000</v>
      </c>
      <c r="R52" s="23" t="n">
        <v>24472000000</v>
      </c>
      <c r="S52" s="4" t="n">
        <v>48.6479591836735</v>
      </c>
    </row>
    <row r="53" customFormat="false" ht="15" hidden="false" customHeight="false" outlineLevel="0" collapsed="false">
      <c r="A53" s="4" t="s">
        <v>146</v>
      </c>
      <c r="B53" s="4" t="n">
        <v>2024</v>
      </c>
      <c r="C53" s="4" t="s">
        <v>572</v>
      </c>
      <c r="D53" s="23" t="n">
        <v>16747000000</v>
      </c>
      <c r="E53" s="23" t="n">
        <v>10267000000</v>
      </c>
      <c r="F53" s="23" t="n">
        <v>2635000000</v>
      </c>
      <c r="G53" s="23" t="n">
        <v>3938000000</v>
      </c>
      <c r="H53" s="23" t="n">
        <v>1854000000</v>
      </c>
      <c r="I53" s="4" t="n">
        <v>1.25</v>
      </c>
      <c r="J53" s="23" t="n">
        <v>1485900000</v>
      </c>
      <c r="K53" s="23" t="n">
        <v>387000000</v>
      </c>
      <c r="L53" s="23" t="n">
        <v>3435000000</v>
      </c>
      <c r="M53" s="23" t="n">
        <v>-790000000</v>
      </c>
      <c r="N53" s="23" t="n">
        <v>2645000000</v>
      </c>
      <c r="O53" s="23" t="n">
        <v>266000000</v>
      </c>
      <c r="P53" s="23" t="n">
        <v>11147000000</v>
      </c>
      <c r="Q53" s="23" t="n">
        <v>414000000</v>
      </c>
      <c r="R53" s="23" t="n">
        <v>22003000000</v>
      </c>
      <c r="S53" s="4" t="n">
        <v>70.8888888888889</v>
      </c>
    </row>
    <row r="54" customFormat="false" ht="15" hidden="false" customHeight="false" outlineLevel="0" collapsed="false">
      <c r="A54" s="4" t="s">
        <v>146</v>
      </c>
      <c r="B54" s="4" t="n">
        <v>2023</v>
      </c>
      <c r="C54" s="4" t="s">
        <v>573</v>
      </c>
      <c r="D54" s="23" t="n">
        <v>14240000000</v>
      </c>
      <c r="E54" s="23" t="n">
        <v>8831000000</v>
      </c>
      <c r="F54" s="23" t="n">
        <v>2181000000</v>
      </c>
      <c r="G54" s="23" t="n">
        <v>3453000000</v>
      </c>
      <c r="H54" s="23" t="n">
        <v>1593000000</v>
      </c>
      <c r="I54" s="4" t="n">
        <v>1.0728</v>
      </c>
      <c r="J54" s="23" t="n">
        <v>1463500000</v>
      </c>
      <c r="K54" s="23" t="n">
        <v>272000000</v>
      </c>
      <c r="L54" s="23" t="n">
        <v>2503000000</v>
      </c>
      <c r="M54" s="23" t="n">
        <v>-800000000</v>
      </c>
      <c r="N54" s="23" t="n">
        <v>1703000000</v>
      </c>
      <c r="O54" s="23" t="n">
        <v>233000000</v>
      </c>
      <c r="P54" s="23" t="n">
        <v>9492000000</v>
      </c>
      <c r="Q54" s="23" t="n">
        <v>865000000</v>
      </c>
      <c r="R54" s="23" t="n">
        <v>19530000000</v>
      </c>
      <c r="S54" s="4" t="n">
        <v>53.5030078667284</v>
      </c>
    </row>
    <row r="55" customFormat="false" ht="15" hidden="false" customHeight="false" outlineLevel="0" collapsed="false">
      <c r="A55" s="4" t="s">
        <v>146</v>
      </c>
      <c r="B55" s="4" t="n">
        <v>2022</v>
      </c>
      <c r="C55" s="4" t="s">
        <v>574</v>
      </c>
      <c r="D55" s="23" t="n">
        <v>12682000000</v>
      </c>
      <c r="E55" s="23" t="n">
        <v>7714000000</v>
      </c>
      <c r="F55" s="23" t="n">
        <v>1824000000</v>
      </c>
      <c r="G55" s="23" t="n">
        <v>2741000000</v>
      </c>
      <c r="H55" s="23" t="n">
        <v>698000000</v>
      </c>
      <c r="I55" s="4" t="n">
        <v>0.4459</v>
      </c>
      <c r="J55" s="23" t="n">
        <v>1439700000</v>
      </c>
      <c r="K55" s="23" t="n">
        <v>464000000</v>
      </c>
      <c r="L55" s="23" t="n">
        <v>1526000000</v>
      </c>
      <c r="M55" s="23" t="n">
        <v>-612000000</v>
      </c>
      <c r="N55" s="23" t="n">
        <v>914000000</v>
      </c>
      <c r="O55" s="23" t="n">
        <v>220000000</v>
      </c>
      <c r="P55" s="23" t="n">
        <v>9282000000</v>
      </c>
      <c r="Q55" s="23" t="n">
        <v>928000000</v>
      </c>
      <c r="R55" s="23" t="n">
        <v>17574000000</v>
      </c>
      <c r="S55" s="4" t="n">
        <v>103.097147950089</v>
      </c>
    </row>
    <row r="56" customFormat="false" ht="15" hidden="false" customHeight="false" outlineLevel="0" collapsed="false">
      <c r="A56" s="4" t="s">
        <v>146</v>
      </c>
      <c r="B56" s="4" t="n">
        <v>2021</v>
      </c>
      <c r="C56" s="4" t="s">
        <v>575</v>
      </c>
      <c r="D56" s="23" t="n">
        <v>11888000000</v>
      </c>
      <c r="E56" s="23" t="n">
        <v>7461000000</v>
      </c>
      <c r="F56" s="23" t="n">
        <v>1922000000</v>
      </c>
      <c r="G56" s="23" t="n">
        <v>2518000000</v>
      </c>
      <c r="H56" s="23" t="n">
        <v>1040000000</v>
      </c>
      <c r="I56" s="4" t="n">
        <v>0.687</v>
      </c>
      <c r="J56" s="23" t="n">
        <v>1433800000</v>
      </c>
      <c r="K56" s="23" t="n">
        <v>349000000</v>
      </c>
      <c r="L56" s="23" t="n">
        <v>1871000000</v>
      </c>
      <c r="M56" s="23" t="n">
        <v>-554000000</v>
      </c>
      <c r="N56" s="23" t="n">
        <v>1316000000</v>
      </c>
      <c r="O56" s="23" t="n">
        <v>194000000</v>
      </c>
      <c r="P56" s="23" t="n">
        <v>9451000000</v>
      </c>
      <c r="Q56" s="23" t="n">
        <v>1925000000</v>
      </c>
      <c r="R56" s="23" t="n">
        <v>16623000000</v>
      </c>
      <c r="S56" s="4" t="n">
        <v>61.3429602888087</v>
      </c>
    </row>
    <row r="57" customFormat="false" ht="15" hidden="false" customHeight="false" outlineLevel="0" collapsed="false">
      <c r="A57" s="4" t="s">
        <v>151</v>
      </c>
      <c r="B57" s="4" t="n">
        <v>2025</v>
      </c>
      <c r="C57" s="4" t="s">
        <v>103</v>
      </c>
      <c r="D57" s="23" t="n">
        <v>67589000000</v>
      </c>
      <c r="E57" s="23" t="n">
        <v>21859000000</v>
      </c>
      <c r="F57" s="23" t="n">
        <v>11210000000</v>
      </c>
      <c r="G57" s="23" t="n">
        <v>14855000000</v>
      </c>
      <c r="H57" s="23" t="n">
        <v>8873000000</v>
      </c>
      <c r="I57" s="4" t="n">
        <v>18.83</v>
      </c>
      <c r="J57" s="23" t="n">
        <v>469000000</v>
      </c>
      <c r="K57" s="23" t="n">
        <v>1030000000</v>
      </c>
      <c r="L57" s="23" t="n">
        <v>11739000000</v>
      </c>
      <c r="M57" s="23" t="n">
        <v>-4286000000</v>
      </c>
      <c r="N57" s="23" t="n">
        <v>7453000000</v>
      </c>
      <c r="O57" s="23" t="n">
        <v>242000000</v>
      </c>
      <c r="P57" s="23" t="n">
        <v>43330000000</v>
      </c>
      <c r="Q57" s="23" t="n">
        <v>9980000000</v>
      </c>
      <c r="R57" s="23" t="n">
        <v>21318000000</v>
      </c>
      <c r="S57" s="4" t="n">
        <v>30.310582010582</v>
      </c>
    </row>
    <row r="58" customFormat="false" ht="15" hidden="false" customHeight="false" outlineLevel="0" collapsed="false">
      <c r="A58" s="4" t="s">
        <v>151</v>
      </c>
      <c r="B58" s="4" t="n">
        <v>2024</v>
      </c>
      <c r="C58" s="4" t="s">
        <v>572</v>
      </c>
      <c r="D58" s="23" t="n">
        <v>64809000000</v>
      </c>
      <c r="E58" s="23" t="n">
        <v>23324000000</v>
      </c>
      <c r="F58" s="23" t="n">
        <v>13072000000</v>
      </c>
      <c r="G58" s="23" t="n">
        <v>16038000000</v>
      </c>
      <c r="H58" s="23" t="n">
        <v>10792000000</v>
      </c>
      <c r="I58" s="4" t="n">
        <v>22.05</v>
      </c>
      <c r="J58" s="23" t="n">
        <v>489400000</v>
      </c>
      <c r="K58" s="23" t="n">
        <v>512000000</v>
      </c>
      <c r="L58" s="23" t="n">
        <v>12035000000</v>
      </c>
      <c r="M58" s="23" t="n">
        <v>-3215000000</v>
      </c>
      <c r="N58" s="23" t="n">
        <v>8820000000</v>
      </c>
      <c r="O58" s="23" t="n">
        <v>223000000</v>
      </c>
      <c r="P58" s="23" t="n">
        <v>38409000000</v>
      </c>
      <c r="Q58" s="23" t="n">
        <v>6889000000</v>
      </c>
      <c r="R58" s="23" t="n">
        <v>19494000000</v>
      </c>
      <c r="S58" s="4" t="n">
        <v>16.362652232747</v>
      </c>
    </row>
    <row r="59" customFormat="false" ht="15" hidden="false" customHeight="false" outlineLevel="0" collapsed="false">
      <c r="A59" s="4" t="s">
        <v>151</v>
      </c>
      <c r="B59" s="4" t="n">
        <v>2023</v>
      </c>
      <c r="C59" s="4" t="s">
        <v>573</v>
      </c>
      <c r="D59" s="23" t="n">
        <v>67060000000</v>
      </c>
      <c r="E59" s="23" t="n">
        <v>23263000000</v>
      </c>
      <c r="F59" s="23" t="n">
        <v>12966000000</v>
      </c>
      <c r="G59" s="23" t="n">
        <v>15705000000</v>
      </c>
      <c r="H59" s="23" t="n">
        <v>10335000000</v>
      </c>
      <c r="I59" s="4" t="n">
        <v>20.12</v>
      </c>
      <c r="J59" s="23" t="n">
        <v>513600000</v>
      </c>
      <c r="K59" s="23" t="n">
        <v>511000000</v>
      </c>
      <c r="L59" s="23" t="n">
        <v>12885000000</v>
      </c>
      <c r="M59" s="23" t="n">
        <v>-3092000000</v>
      </c>
      <c r="N59" s="23" t="n">
        <v>9793000000</v>
      </c>
      <c r="O59" s="23" t="n">
        <v>208000000</v>
      </c>
      <c r="P59" s="23" t="n">
        <v>37878000000</v>
      </c>
      <c r="Q59" s="23" t="n">
        <v>6978000000</v>
      </c>
      <c r="R59" s="23" t="n">
        <v>19503000000</v>
      </c>
      <c r="S59" s="4" t="n">
        <v>14.6082015810277</v>
      </c>
    </row>
    <row r="60" customFormat="false" ht="15" hidden="false" customHeight="false" outlineLevel="0" collapsed="false">
      <c r="A60" s="4" t="s">
        <v>151</v>
      </c>
      <c r="B60" s="4" t="n">
        <v>2022</v>
      </c>
      <c r="C60" s="4" t="s">
        <v>574</v>
      </c>
      <c r="D60" s="23" t="n">
        <v>59427000000</v>
      </c>
      <c r="E60" s="23" t="n">
        <v>17512000000</v>
      </c>
      <c r="F60" s="23" t="n">
        <v>7904000000</v>
      </c>
      <c r="G60" s="23" t="n">
        <v>11414000000</v>
      </c>
      <c r="H60" s="23" t="n">
        <v>6705000000</v>
      </c>
      <c r="I60" s="4" t="n">
        <v>12.64</v>
      </c>
      <c r="J60" s="23" t="n">
        <v>530400000</v>
      </c>
      <c r="K60" s="23" t="n">
        <v>443000000</v>
      </c>
      <c r="L60" s="23" t="n">
        <v>7766000000</v>
      </c>
      <c r="M60" s="23" t="n">
        <v>-2599000000</v>
      </c>
      <c r="N60" s="23" t="n">
        <v>5167000000</v>
      </c>
      <c r="O60" s="23" t="n">
        <v>193000000</v>
      </c>
      <c r="P60" s="23" t="n">
        <v>36993000000</v>
      </c>
      <c r="Q60" s="23" t="n">
        <v>7004000000</v>
      </c>
      <c r="R60" s="23" t="n">
        <v>15891000000</v>
      </c>
      <c r="S60" s="4" t="n">
        <v>18.8185388845248</v>
      </c>
    </row>
    <row r="61" customFormat="false" ht="15" hidden="false" customHeight="false" outlineLevel="0" collapsed="false">
      <c r="A61" s="4" t="s">
        <v>151</v>
      </c>
      <c r="B61" s="4" t="n">
        <v>2021</v>
      </c>
      <c r="C61" s="4" t="s">
        <v>575</v>
      </c>
      <c r="D61" s="23" t="n">
        <v>50971000000</v>
      </c>
      <c r="E61" s="23" t="n">
        <v>15003000000</v>
      </c>
      <c r="F61" s="23" t="n">
        <v>6878000000</v>
      </c>
      <c r="G61" s="23" t="n">
        <v>11044000000</v>
      </c>
      <c r="H61" s="23" t="n">
        <v>6489000000</v>
      </c>
      <c r="I61" s="4" t="n">
        <v>11.83</v>
      </c>
      <c r="J61" s="23" t="n">
        <v>548500000</v>
      </c>
      <c r="K61" s="23" t="n">
        <v>485000000</v>
      </c>
      <c r="L61" s="23" t="n">
        <v>7198000000</v>
      </c>
      <c r="M61" s="23" t="n">
        <v>-2472000000</v>
      </c>
      <c r="N61" s="23" t="n">
        <v>4726000000</v>
      </c>
      <c r="O61" s="23" t="n">
        <v>200000000</v>
      </c>
      <c r="P61" s="23" t="n">
        <v>37789000000</v>
      </c>
      <c r="Q61" s="23" t="n">
        <v>9254000000</v>
      </c>
      <c r="R61" s="23" t="n">
        <v>16516000000</v>
      </c>
      <c r="S61" s="4" t="n">
        <v>17.3294216261526</v>
      </c>
    </row>
    <row r="62" customFormat="false" ht="15" hidden="false" customHeight="false" outlineLevel="0" collapsed="false">
      <c r="A62" s="4" t="s">
        <v>155</v>
      </c>
      <c r="B62" s="4" t="n">
        <v>2025</v>
      </c>
      <c r="C62" s="4" t="s">
        <v>103</v>
      </c>
      <c r="D62" s="23" t="n">
        <v>59783000000</v>
      </c>
      <c r="E62" s="23" t="n">
        <v>17605000000</v>
      </c>
      <c r="F62" s="23" t="n">
        <v>13044000000</v>
      </c>
      <c r="G62" s="23" t="n">
        <v>14109000000</v>
      </c>
      <c r="H62" s="23" t="n">
        <v>10310000000</v>
      </c>
      <c r="I62" s="4" t="n">
        <v>25.73</v>
      </c>
      <c r="J62" s="23" t="n">
        <v>396500000</v>
      </c>
      <c r="K62" s="23" t="n">
        <v>764000000</v>
      </c>
      <c r="L62" s="23" t="n">
        <v>14537000000</v>
      </c>
      <c r="M62" s="23" t="n">
        <v>0</v>
      </c>
      <c r="N62" s="23" t="n">
        <v>14537000000</v>
      </c>
      <c r="O62" s="23" t="n">
        <v>0</v>
      </c>
      <c r="P62" s="23" t="n">
        <v>17649000000</v>
      </c>
      <c r="Q62" s="23" t="n">
        <v>42585000000</v>
      </c>
      <c r="R62" s="23" t="n">
        <v>79779000000</v>
      </c>
      <c r="S62" s="4" t="n">
        <v>12.0463141644153</v>
      </c>
    </row>
    <row r="63" customFormat="false" ht="15" hidden="false" customHeight="false" outlineLevel="0" collapsed="false">
      <c r="A63" s="4" t="s">
        <v>155</v>
      </c>
      <c r="B63" s="4" t="n">
        <v>2024</v>
      </c>
      <c r="C63" s="4" t="s">
        <v>572</v>
      </c>
      <c r="D63" s="23" t="n">
        <v>56150000000</v>
      </c>
      <c r="E63" s="23" t="n">
        <v>16172000000</v>
      </c>
      <c r="F63" s="23" t="n">
        <v>11455000000</v>
      </c>
      <c r="G63" s="23" t="n">
        <v>12519000000</v>
      </c>
      <c r="H63" s="23" t="n">
        <v>9272000000</v>
      </c>
      <c r="I63" s="4" t="n">
        <v>22.7</v>
      </c>
      <c r="J63" s="23" t="n">
        <v>411905820</v>
      </c>
      <c r="K63" s="23" t="n">
        <v>741000000</v>
      </c>
      <c r="L63" s="23" t="n">
        <v>16182000000</v>
      </c>
      <c r="M63" s="23" t="n">
        <v>0</v>
      </c>
      <c r="N63" s="23" t="n">
        <v>16182000000</v>
      </c>
      <c r="O63" s="23" t="n">
        <v>0</v>
      </c>
      <c r="P63" s="23" t="n">
        <v>15598000000</v>
      </c>
      <c r="Q63" s="23" t="n">
        <v>39185000000</v>
      </c>
      <c r="R63" s="23" t="n">
        <v>68394000000</v>
      </c>
      <c r="S63" s="4" t="n">
        <v>12.0444638186574</v>
      </c>
    </row>
    <row r="64" customFormat="false" ht="15" hidden="false" customHeight="false" outlineLevel="0" collapsed="false">
      <c r="A64" s="4" t="s">
        <v>155</v>
      </c>
      <c r="B64" s="4" t="n">
        <v>2023</v>
      </c>
      <c r="C64" s="4" t="s">
        <v>573</v>
      </c>
      <c r="D64" s="23" t="n">
        <v>50133000000</v>
      </c>
      <c r="E64" s="23" t="n">
        <v>13839000000</v>
      </c>
      <c r="F64" s="23" t="n">
        <v>9526000000</v>
      </c>
      <c r="G64" s="23" t="n">
        <v>10508000000</v>
      </c>
      <c r="H64" s="23" t="n">
        <v>9028000000</v>
      </c>
      <c r="I64" s="4" t="n">
        <v>21.8</v>
      </c>
      <c r="J64" s="23" t="n">
        <v>414202568</v>
      </c>
      <c r="K64" s="23" t="n">
        <v>672000000</v>
      </c>
      <c r="L64" s="23" t="n">
        <v>12632000000</v>
      </c>
      <c r="M64" s="23" t="n">
        <v>0</v>
      </c>
      <c r="N64" s="23" t="n">
        <v>12632000000</v>
      </c>
      <c r="O64" s="23" t="n">
        <v>0</v>
      </c>
      <c r="P64" s="23" t="n">
        <v>14495000000</v>
      </c>
      <c r="Q64" s="23" t="n">
        <v>33787000000</v>
      </c>
      <c r="R64" s="23" t="n">
        <v>63691000000</v>
      </c>
      <c r="S64" s="4" t="n">
        <v>10.2867546654529</v>
      </c>
    </row>
    <row r="65" customFormat="false" ht="15" hidden="false" customHeight="false" outlineLevel="0" collapsed="false">
      <c r="A65" s="4" t="s">
        <v>155</v>
      </c>
      <c r="B65" s="4" t="n">
        <v>2022</v>
      </c>
      <c r="C65" s="4" t="s">
        <v>574</v>
      </c>
      <c r="D65" s="23" t="n">
        <v>42975000000</v>
      </c>
      <c r="E65" s="23" t="n">
        <v>10830000000</v>
      </c>
      <c r="F65" s="23" t="n">
        <v>6485000000</v>
      </c>
      <c r="G65" s="23" t="n">
        <v>7340000000</v>
      </c>
      <c r="H65" s="23" t="n">
        <v>5246000000</v>
      </c>
      <c r="I65" s="4" t="n">
        <v>12.39</v>
      </c>
      <c r="J65" s="23" t="n">
        <v>423527000</v>
      </c>
      <c r="K65" s="23" t="n">
        <v>570000000</v>
      </c>
      <c r="L65" s="23" t="n">
        <v>11258000000</v>
      </c>
      <c r="M65" s="23" t="n">
        <v>0</v>
      </c>
      <c r="N65" s="23" t="n">
        <v>11258000000</v>
      </c>
      <c r="O65" s="23" t="n">
        <v>0</v>
      </c>
      <c r="P65" s="23" t="n">
        <v>14877000000</v>
      </c>
      <c r="Q65" s="23" t="n">
        <v>25785000000</v>
      </c>
      <c r="R65" s="23" t="n">
        <v>50519000000</v>
      </c>
      <c r="S65" s="4" t="n">
        <v>17.648</v>
      </c>
    </row>
    <row r="66" customFormat="false" ht="15" hidden="false" customHeight="false" outlineLevel="0" collapsed="false">
      <c r="A66" s="4" t="s">
        <v>155</v>
      </c>
      <c r="B66" s="4" t="n">
        <v>2021</v>
      </c>
      <c r="C66" s="4" t="s">
        <v>575</v>
      </c>
      <c r="D66" s="23" t="n">
        <v>40770000000</v>
      </c>
      <c r="E66" s="23" t="n">
        <v>11333000000</v>
      </c>
      <c r="F66" s="23" t="n">
        <v>9794000000</v>
      </c>
      <c r="G66" s="23" t="n">
        <v>10573000000</v>
      </c>
      <c r="H66" s="23" t="n">
        <v>8525000000</v>
      </c>
      <c r="I66" s="4" t="n">
        <v>19.27</v>
      </c>
      <c r="J66" s="23" t="n">
        <v>443200000</v>
      </c>
      <c r="K66" s="23" t="n">
        <v>492000000</v>
      </c>
      <c r="L66" s="23" t="n">
        <v>11151000000</v>
      </c>
      <c r="M66" s="23" t="n">
        <v>0</v>
      </c>
      <c r="N66" s="23" t="n">
        <v>11151000000</v>
      </c>
      <c r="O66" s="23" t="n">
        <v>0</v>
      </c>
      <c r="P66" s="23" t="n">
        <v>16168000000</v>
      </c>
      <c r="Q66" s="23" t="n">
        <v>97913000000</v>
      </c>
      <c r="R66" s="23" t="n">
        <v>59714000000</v>
      </c>
      <c r="S66" s="4" t="n">
        <v>9.97471620227038</v>
      </c>
    </row>
    <row r="67" customFormat="false" ht="15" hidden="false" customHeight="false" outlineLevel="0" collapsed="false">
      <c r="A67" s="4" t="s">
        <v>159</v>
      </c>
      <c r="B67" s="4" t="n">
        <v>2025</v>
      </c>
      <c r="C67" s="4" t="s">
        <v>103</v>
      </c>
      <c r="D67" s="23" t="n">
        <v>6520600000</v>
      </c>
      <c r="E67" s="23" t="n">
        <v>5613600000</v>
      </c>
      <c r="F67" s="23" t="n">
        <v>4229500000</v>
      </c>
      <c r="G67" s="23" t="n">
        <v>5776200000</v>
      </c>
      <c r="H67" s="23" t="n">
        <v>4044400000</v>
      </c>
      <c r="I67" s="4" t="n">
        <v>11.16</v>
      </c>
      <c r="J67" s="23" t="n">
        <v>360233000</v>
      </c>
      <c r="K67" s="23" t="n">
        <v>129700000</v>
      </c>
      <c r="L67" s="23" t="n">
        <v>4277100000</v>
      </c>
      <c r="M67" s="23" t="n">
        <v>-83500000</v>
      </c>
      <c r="N67" s="23" t="n">
        <v>4193600000</v>
      </c>
      <c r="O67" s="23" t="n">
        <v>94800000</v>
      </c>
      <c r="P67" s="23" t="n">
        <v>3422300000</v>
      </c>
      <c r="Q67" s="23" t="n">
        <v>4541900000</v>
      </c>
      <c r="R67" s="23" t="n">
        <v>28728200000</v>
      </c>
      <c r="S67" s="4" t="n">
        <v>24.4257602862254</v>
      </c>
    </row>
    <row r="68" customFormat="false" ht="15" hidden="false" customHeight="false" outlineLevel="0" collapsed="false">
      <c r="A68" s="4" t="s">
        <v>159</v>
      </c>
      <c r="B68" s="4" t="n">
        <v>2024</v>
      </c>
      <c r="C68" s="4" t="s">
        <v>572</v>
      </c>
      <c r="D68" s="23" t="n">
        <v>6130100000</v>
      </c>
      <c r="E68" s="23" t="n">
        <v>5279800000</v>
      </c>
      <c r="F68" s="23" t="n">
        <v>3931500000</v>
      </c>
      <c r="G68" s="23" t="n">
        <v>5039100000</v>
      </c>
      <c r="H68" s="23" t="n">
        <v>3525800000</v>
      </c>
      <c r="I68" s="4" t="n">
        <v>9.67</v>
      </c>
      <c r="J68" s="23" t="n">
        <v>359944000</v>
      </c>
      <c r="K68" s="23" t="n">
        <v>160900000</v>
      </c>
      <c r="L68" s="23" t="n">
        <v>3690500000</v>
      </c>
      <c r="M68" s="23" t="n">
        <v>-94000000</v>
      </c>
      <c r="N68" s="23" t="n">
        <v>3596500000</v>
      </c>
      <c r="O68" s="23" t="n">
        <v>89500000</v>
      </c>
      <c r="P68" s="23" t="n">
        <v>3428000000</v>
      </c>
      <c r="Q68" s="23" t="n">
        <v>3005600000</v>
      </c>
      <c r="R68" s="23" t="n">
        <v>26486900000</v>
      </c>
      <c r="S68" s="4" t="n">
        <v>23.9659442724458</v>
      </c>
    </row>
    <row r="69" customFormat="false" ht="15" hidden="false" customHeight="false" outlineLevel="0" collapsed="false">
      <c r="A69" s="4" t="s">
        <v>159</v>
      </c>
      <c r="B69" s="4" t="n">
        <v>2023</v>
      </c>
      <c r="C69" s="4" t="s">
        <v>573</v>
      </c>
      <c r="D69" s="23" t="n">
        <v>5578900000</v>
      </c>
      <c r="E69" s="23" t="n">
        <v>4750300000</v>
      </c>
      <c r="F69" s="23" t="n">
        <v>3435700000</v>
      </c>
      <c r="G69" s="23" t="n">
        <v>4665600000</v>
      </c>
      <c r="H69" s="23" t="n">
        <v>3226200000</v>
      </c>
      <c r="I69" s="4" t="n">
        <v>8.86</v>
      </c>
      <c r="J69" s="23" t="n">
        <v>359500000</v>
      </c>
      <c r="K69" s="23" t="n">
        <v>159400000</v>
      </c>
      <c r="L69" s="23" t="n">
        <v>3453800000</v>
      </c>
      <c r="M69" s="23" t="n">
        <v>-76400000</v>
      </c>
      <c r="N69" s="23" t="n">
        <v>3377400000</v>
      </c>
      <c r="O69" s="23" t="n">
        <v>82900000</v>
      </c>
      <c r="P69" s="23" t="n">
        <v>3425400000</v>
      </c>
      <c r="Q69" s="23" t="n">
        <v>3023700000</v>
      </c>
      <c r="R69" s="23" t="n">
        <v>26737900000</v>
      </c>
      <c r="S69" s="4" t="n">
        <v>23.7429537767757</v>
      </c>
    </row>
    <row r="70" customFormat="false" ht="15" hidden="false" customHeight="false" outlineLevel="0" collapsed="false">
      <c r="A70" s="4" t="s">
        <v>159</v>
      </c>
      <c r="B70" s="4" t="n">
        <v>2022</v>
      </c>
      <c r="C70" s="4" t="s">
        <v>574</v>
      </c>
      <c r="D70" s="23" t="n">
        <v>5019400000</v>
      </c>
      <c r="E70" s="23" t="n">
        <v>4266300000</v>
      </c>
      <c r="F70" s="23" t="n">
        <v>3015900000</v>
      </c>
      <c r="G70" s="23" t="n">
        <v>4015600000</v>
      </c>
      <c r="H70" s="23" t="n">
        <v>2691000000</v>
      </c>
      <c r="I70" s="4" t="n">
        <v>7.4</v>
      </c>
      <c r="J70" s="23" t="n">
        <v>359181000</v>
      </c>
      <c r="K70" s="23" t="n">
        <v>162700000</v>
      </c>
      <c r="L70" s="23" t="n">
        <v>3056000000</v>
      </c>
      <c r="M70" s="23" t="n">
        <v>-89700000</v>
      </c>
      <c r="N70" s="23" t="n">
        <v>2966300000</v>
      </c>
      <c r="O70" s="23" t="n">
        <v>84300000</v>
      </c>
      <c r="P70" s="23" t="n">
        <v>3438400000</v>
      </c>
      <c r="Q70" s="23" t="n">
        <v>2816100000</v>
      </c>
      <c r="R70" s="23" t="n">
        <v>26878700000</v>
      </c>
      <c r="S70" s="4" t="n">
        <v>22.693657219973</v>
      </c>
    </row>
    <row r="71" customFormat="false" ht="15" hidden="false" customHeight="false" outlineLevel="0" collapsed="false">
      <c r="A71" s="4" t="s">
        <v>159</v>
      </c>
      <c r="B71" s="4" t="n">
        <v>2021</v>
      </c>
      <c r="C71" s="4" t="s">
        <v>575</v>
      </c>
      <c r="D71" s="23" t="n">
        <v>4689700000</v>
      </c>
      <c r="E71" s="23" t="n">
        <v>3852700000</v>
      </c>
      <c r="F71" s="23" t="n">
        <v>2645200000</v>
      </c>
      <c r="G71" s="23" t="n">
        <v>3925900000</v>
      </c>
      <c r="H71" s="23" t="n">
        <v>2636400000</v>
      </c>
      <c r="I71" s="4" t="n">
        <v>7.29</v>
      </c>
      <c r="J71" s="23" t="n">
        <v>358929000</v>
      </c>
      <c r="K71" s="23" t="n">
        <v>166900000</v>
      </c>
      <c r="L71" s="23" t="n">
        <v>2402400000</v>
      </c>
      <c r="M71" s="23" t="n">
        <v>-127200000</v>
      </c>
      <c r="N71" s="23" t="n">
        <v>2275200000</v>
      </c>
      <c r="O71" s="23" t="n">
        <v>75200000</v>
      </c>
      <c r="P71" s="23" t="n">
        <v>3445100000</v>
      </c>
      <c r="Q71" s="23" t="n">
        <v>2949900000</v>
      </c>
      <c r="R71" s="23" t="n">
        <v>27399300000</v>
      </c>
      <c r="S71" s="4" t="n">
        <v>31.2958904109589</v>
      </c>
    </row>
    <row r="72" customFormat="false" ht="15" hidden="false" customHeight="false" outlineLevel="0" collapsed="false">
      <c r="A72" s="4" t="s">
        <v>163</v>
      </c>
      <c r="B72" s="4" t="n">
        <v>2026</v>
      </c>
      <c r="C72" s="4" t="s">
        <v>165</v>
      </c>
      <c r="D72" s="23" t="n">
        <v>41525000000</v>
      </c>
      <c r="E72" s="23" t="n">
        <v>32255000000</v>
      </c>
      <c r="F72" s="23" t="n">
        <v>8917000000</v>
      </c>
      <c r="G72" s="23" t="n">
        <v>13151000000</v>
      </c>
      <c r="H72" s="23" t="n">
        <v>7457000000</v>
      </c>
      <c r="I72" s="4" t="n">
        <v>7.8</v>
      </c>
      <c r="J72" s="23" t="n">
        <v>956000000</v>
      </c>
      <c r="K72" s="23" t="n">
        <v>324000000</v>
      </c>
      <c r="L72" s="23" t="n">
        <v>14996000000</v>
      </c>
      <c r="M72" s="23" t="n">
        <v>-594000000</v>
      </c>
      <c r="N72" s="23" t="n">
        <v>14402000000</v>
      </c>
      <c r="O72" s="23" t="n">
        <v>3509000000</v>
      </c>
      <c r="P72" s="23" t="n">
        <v>17176000000</v>
      </c>
      <c r="Q72" s="23" t="n">
        <v>9565000000</v>
      </c>
      <c r="R72" s="23" t="n">
        <v>59142000000</v>
      </c>
      <c r="S72" s="4" t="n">
        <v>27.0433121019108</v>
      </c>
    </row>
    <row r="73" customFormat="false" ht="15" hidden="false" customHeight="false" outlineLevel="0" collapsed="false">
      <c r="A73" s="4" t="s">
        <v>163</v>
      </c>
      <c r="B73" s="4" t="n">
        <v>2025</v>
      </c>
      <c r="C73" s="4" t="s">
        <v>584</v>
      </c>
      <c r="D73" s="23" t="n">
        <v>37895000000</v>
      </c>
      <c r="E73" s="23" t="n">
        <v>29252000000</v>
      </c>
      <c r="F73" s="23" t="n">
        <v>7205000000</v>
      </c>
      <c r="G73" s="23" t="n">
        <v>11143000000</v>
      </c>
      <c r="H73" s="23" t="n">
        <v>6197000000</v>
      </c>
      <c r="I73" s="4" t="n">
        <v>6.36</v>
      </c>
      <c r="J73" s="23" t="n">
        <v>974000000</v>
      </c>
      <c r="K73" s="23" t="n">
        <v>272000000</v>
      </c>
      <c r="L73" s="23" t="n">
        <v>13092000000</v>
      </c>
      <c r="M73" s="23" t="n">
        <v>-658000000</v>
      </c>
      <c r="N73" s="23" t="n">
        <v>12434000000</v>
      </c>
      <c r="O73" s="23" t="n">
        <v>3183000000</v>
      </c>
      <c r="P73" s="23" t="n">
        <v>11392000000</v>
      </c>
      <c r="Q73" s="23" t="n">
        <v>14032000000</v>
      </c>
      <c r="R73" s="23" t="n">
        <v>61173000000</v>
      </c>
      <c r="S73" s="4" t="n">
        <v>53.0590062111801</v>
      </c>
    </row>
    <row r="74" customFormat="false" ht="15" hidden="false" customHeight="false" outlineLevel="0" collapsed="false">
      <c r="A74" s="4" t="s">
        <v>163</v>
      </c>
      <c r="B74" s="4" t="n">
        <v>2024</v>
      </c>
      <c r="C74" s="4" t="s">
        <v>585</v>
      </c>
      <c r="D74" s="23" t="n">
        <v>34857000000</v>
      </c>
      <c r="E74" s="23" t="n">
        <v>26316000000</v>
      </c>
      <c r="F74" s="23" t="n">
        <v>5011000000</v>
      </c>
      <c r="G74" s="23" t="n">
        <v>9958000000</v>
      </c>
      <c r="H74" s="23" t="n">
        <v>4136000000</v>
      </c>
      <c r="I74" s="4" t="n">
        <v>4.2</v>
      </c>
      <c r="J74" s="23" t="n">
        <v>984000000</v>
      </c>
      <c r="K74" s="23" t="n">
        <v>0</v>
      </c>
      <c r="L74" s="23" t="n">
        <v>10234000000</v>
      </c>
      <c r="M74" s="23" t="n">
        <v>-736000000</v>
      </c>
      <c r="N74" s="23" t="n">
        <v>9498000000</v>
      </c>
      <c r="O74" s="23" t="n">
        <v>2787000000</v>
      </c>
      <c r="P74" s="23" t="n">
        <v>12588000000</v>
      </c>
      <c r="Q74" s="23" t="n">
        <v>14194000000</v>
      </c>
      <c r="R74" s="23" t="n">
        <v>59646000000</v>
      </c>
      <c r="S74" s="4" t="n">
        <v>66.1388235294118</v>
      </c>
    </row>
    <row r="75" customFormat="false" ht="15" hidden="false" customHeight="false" outlineLevel="0" collapsed="false">
      <c r="A75" s="4" t="s">
        <v>163</v>
      </c>
      <c r="B75" s="4" t="n">
        <v>2023</v>
      </c>
      <c r="C75" s="4" t="s">
        <v>586</v>
      </c>
      <c r="D75" s="23" t="n">
        <v>31352000000</v>
      </c>
      <c r="E75" s="23" t="n">
        <v>22992000000</v>
      </c>
      <c r="F75" s="23" t="n">
        <v>1030000000</v>
      </c>
      <c r="G75" s="23" t="n">
        <v>5644000000</v>
      </c>
      <c r="H75" s="23" t="n">
        <v>208000000</v>
      </c>
      <c r="I75" s="4" t="n">
        <v>0.21</v>
      </c>
      <c r="J75" s="23" t="n">
        <v>997000000</v>
      </c>
      <c r="K75" s="23" t="n">
        <v>287000000</v>
      </c>
      <c r="L75" s="23" t="n">
        <v>7111000000</v>
      </c>
      <c r="M75" s="23" t="n">
        <v>-798000000</v>
      </c>
      <c r="N75" s="23" t="n">
        <v>6313000000</v>
      </c>
      <c r="O75" s="23" t="n">
        <v>3279000000</v>
      </c>
      <c r="P75" s="23" t="n">
        <v>14088000000</v>
      </c>
      <c r="Q75" s="23" t="n">
        <v>12508000000</v>
      </c>
      <c r="R75" s="23" t="n">
        <v>58359000000</v>
      </c>
      <c r="S75" s="4" t="n">
        <v>799.857142857143</v>
      </c>
    </row>
    <row r="76" customFormat="false" ht="15" hidden="false" customHeight="false" outlineLevel="0" collapsed="false">
      <c r="A76" s="4" t="s">
        <v>163</v>
      </c>
      <c r="B76" s="4" t="n">
        <v>2022</v>
      </c>
      <c r="C76" s="4" t="s">
        <v>587</v>
      </c>
      <c r="D76" s="23" t="n">
        <v>26492000000</v>
      </c>
      <c r="E76" s="23" t="n">
        <v>19466000000</v>
      </c>
      <c r="F76" s="23" t="n">
        <v>548000000</v>
      </c>
      <c r="G76" s="23" t="n">
        <v>5050000000</v>
      </c>
      <c r="H76" s="23" t="n">
        <v>1444000000</v>
      </c>
      <c r="I76" s="4" t="n">
        <v>1.48</v>
      </c>
      <c r="J76" s="23" t="n">
        <v>974000000</v>
      </c>
      <c r="K76" s="23" t="n">
        <v>220000000</v>
      </c>
      <c r="L76" s="23" t="n">
        <v>6000000000</v>
      </c>
      <c r="M76" s="23" t="n">
        <v>-717000000</v>
      </c>
      <c r="N76" s="23" t="n">
        <v>5283000000</v>
      </c>
      <c r="O76" s="23" t="n">
        <v>2779000000</v>
      </c>
      <c r="P76" s="23" t="n">
        <v>13985000000</v>
      </c>
      <c r="Q76" s="23" t="n">
        <v>10537000000</v>
      </c>
      <c r="R76" s="23" t="n">
        <v>58131000000</v>
      </c>
      <c r="S76" s="4" t="n">
        <v>154.059602649007</v>
      </c>
    </row>
    <row r="77" customFormat="false" ht="15" hidden="false" customHeight="false" outlineLevel="0" collapsed="false">
      <c r="A77" s="4" t="s">
        <v>167</v>
      </c>
      <c r="B77" s="4" t="n">
        <v>2026</v>
      </c>
      <c r="C77" s="4" t="s">
        <v>170</v>
      </c>
      <c r="D77" s="23" t="n">
        <v>63325000000</v>
      </c>
      <c r="E77" s="23" t="n">
        <v>40860000000</v>
      </c>
      <c r="F77" s="23" t="n">
        <v>15368000000</v>
      </c>
      <c r="G77" s="23" t="n">
        <v>20019000000</v>
      </c>
      <c r="H77" s="23" t="n">
        <v>13267000000</v>
      </c>
      <c r="I77" s="4" t="n">
        <v>3.33</v>
      </c>
      <c r="J77" s="23" t="n">
        <v>3987000000</v>
      </c>
      <c r="K77" s="23" t="n">
        <v>1470000000</v>
      </c>
      <c r="L77" s="23" t="n">
        <v>14177000000</v>
      </c>
      <c r="M77" s="23" t="n">
        <v>-1410000000</v>
      </c>
      <c r="N77" s="23" t="n">
        <v>12767000000</v>
      </c>
      <c r="O77" s="23" t="n">
        <v>3830000000</v>
      </c>
      <c r="P77" s="23" t="n">
        <v>29533000000</v>
      </c>
      <c r="Q77" s="23" t="n">
        <v>15918000000</v>
      </c>
      <c r="R77" s="23" t="n">
        <v>50285000000</v>
      </c>
      <c r="S77" s="4" t="n">
        <v>33.9791666666667</v>
      </c>
    </row>
    <row r="78" customFormat="false" ht="15" hidden="false" customHeight="false" outlineLevel="0" collapsed="false">
      <c r="A78" s="4" t="s">
        <v>167</v>
      </c>
      <c r="B78" s="4" t="n">
        <v>2025</v>
      </c>
      <c r="C78" s="4" t="s">
        <v>588</v>
      </c>
      <c r="D78" s="23" t="n">
        <v>56654000000</v>
      </c>
      <c r="E78" s="23" t="n">
        <v>36790000000</v>
      </c>
      <c r="F78" s="23" t="n">
        <v>11760000000</v>
      </c>
      <c r="G78" s="23" t="n">
        <v>15327000000</v>
      </c>
      <c r="H78" s="23" t="n">
        <v>10180000000</v>
      </c>
      <c r="I78" s="4" t="n">
        <v>2.55</v>
      </c>
      <c r="J78" s="23" t="n">
        <v>3998000000</v>
      </c>
      <c r="K78" s="23" t="n">
        <v>1593000000</v>
      </c>
      <c r="L78" s="23" t="n">
        <v>14193000000</v>
      </c>
      <c r="M78" s="23" t="n">
        <v>-905000000</v>
      </c>
      <c r="N78" s="23" t="n">
        <v>13288000000</v>
      </c>
      <c r="O78" s="23" t="n">
        <v>3641000000</v>
      </c>
      <c r="P78" s="23" t="n">
        <v>28093000000</v>
      </c>
      <c r="Q78" s="23" t="n">
        <v>16110000000</v>
      </c>
      <c r="R78" s="23" t="n">
        <v>46843000000</v>
      </c>
      <c r="S78" s="4" t="n">
        <v>26.83203125</v>
      </c>
    </row>
    <row r="79" customFormat="false" ht="15" hidden="false" customHeight="false" outlineLevel="0" collapsed="false">
      <c r="A79" s="4" t="s">
        <v>167</v>
      </c>
      <c r="B79" s="4" t="n">
        <v>2024</v>
      </c>
      <c r="C79" s="4" t="s">
        <v>589</v>
      </c>
      <c r="D79" s="23" t="n">
        <v>53803000000</v>
      </c>
      <c r="E79" s="23" t="n">
        <v>34828000000</v>
      </c>
      <c r="F79" s="23" t="n">
        <v>12181000000</v>
      </c>
      <c r="G79" s="23" t="n">
        <v>15747000000</v>
      </c>
      <c r="H79" s="23" t="n">
        <v>10320000000</v>
      </c>
      <c r="I79" s="4" t="n">
        <v>2.54</v>
      </c>
      <c r="J79" s="23" t="n">
        <v>4062000000</v>
      </c>
      <c r="K79" s="23" t="n">
        <v>1006000000</v>
      </c>
      <c r="L79" s="23" t="n">
        <v>10880000000</v>
      </c>
      <c r="M79" s="23" t="n">
        <v>-670000000</v>
      </c>
      <c r="N79" s="23" t="n">
        <v>10210000000</v>
      </c>
      <c r="O79" s="23" t="n">
        <v>3074000000</v>
      </c>
      <c r="P79" s="23" t="n">
        <v>30973000000</v>
      </c>
      <c r="Q79" s="23" t="n">
        <v>17854000000</v>
      </c>
      <c r="R79" s="23" t="n">
        <v>45457000000</v>
      </c>
      <c r="S79" s="4" t="n">
        <v>18.7764705882353</v>
      </c>
    </row>
    <row r="80" customFormat="false" ht="15" hidden="false" customHeight="false" outlineLevel="0" collapsed="false">
      <c r="A80" s="4" t="s">
        <v>167</v>
      </c>
      <c r="B80" s="4" t="n">
        <v>2023</v>
      </c>
      <c r="C80" s="4" t="s">
        <v>590</v>
      </c>
      <c r="D80" s="23" t="n">
        <v>56998000000</v>
      </c>
      <c r="E80" s="23" t="n">
        <v>35753000000</v>
      </c>
      <c r="F80" s="23" t="n">
        <v>15031000000</v>
      </c>
      <c r="G80" s="23" t="n">
        <v>17471000000</v>
      </c>
      <c r="H80" s="23" t="n">
        <v>12613000000</v>
      </c>
      <c r="I80" s="4" t="n">
        <v>3.07</v>
      </c>
      <c r="J80" s="23" t="n">
        <v>4105000000</v>
      </c>
      <c r="K80" s="23" t="n">
        <v>427000000</v>
      </c>
      <c r="L80" s="23" t="n">
        <v>19886000000</v>
      </c>
      <c r="M80" s="23" t="n">
        <v>-849000000</v>
      </c>
      <c r="N80" s="23" t="n">
        <v>19037000000</v>
      </c>
      <c r="O80" s="23" t="n">
        <v>2353000000</v>
      </c>
      <c r="P80" s="23" t="n">
        <v>8391000000</v>
      </c>
      <c r="Q80" s="23" t="n">
        <v>26146000000</v>
      </c>
      <c r="R80" s="23" t="n">
        <v>44353000000</v>
      </c>
      <c r="S80" s="4" t="n">
        <v>16.9123376623377</v>
      </c>
    </row>
    <row r="81" customFormat="false" ht="15" hidden="false" customHeight="false" outlineLevel="0" collapsed="false">
      <c r="A81" s="4" t="s">
        <v>167</v>
      </c>
      <c r="B81" s="4" t="n">
        <v>2022</v>
      </c>
      <c r="C81" s="4" t="s">
        <v>591</v>
      </c>
      <c r="D81" s="23" t="n">
        <v>51557000000</v>
      </c>
      <c r="E81" s="23" t="n">
        <v>32248000000</v>
      </c>
      <c r="F81" s="23" t="n">
        <v>13969000000</v>
      </c>
      <c r="G81" s="23" t="n">
        <v>16794000000</v>
      </c>
      <c r="H81" s="23" t="n">
        <v>11812000000</v>
      </c>
      <c r="I81" s="4" t="n">
        <v>2.82</v>
      </c>
      <c r="J81" s="23" t="n">
        <v>4192000000</v>
      </c>
      <c r="K81" s="23" t="n">
        <v>360000000</v>
      </c>
      <c r="L81" s="23" t="n">
        <v>13226000000</v>
      </c>
      <c r="M81" s="23" t="n">
        <v>-477000000</v>
      </c>
      <c r="N81" s="23" t="n">
        <v>12749000000</v>
      </c>
      <c r="O81" s="23" t="n">
        <v>1886000000</v>
      </c>
      <c r="P81" s="23" t="n">
        <v>10561000000</v>
      </c>
      <c r="Q81" s="23" t="n">
        <v>19267000000</v>
      </c>
      <c r="R81" s="23" t="n">
        <v>39773000000</v>
      </c>
      <c r="S81" s="4" t="n">
        <v>16.0318021201413</v>
      </c>
    </row>
    <row r="82" customFormat="false" ht="15" hidden="false" customHeight="false" outlineLevel="0" collapsed="false">
      <c r="A82" s="4" t="s">
        <v>172</v>
      </c>
      <c r="B82" s="4" t="n">
        <v>2025</v>
      </c>
      <c r="C82" s="4" t="s">
        <v>103</v>
      </c>
      <c r="D82" s="23" t="n">
        <v>27448000000</v>
      </c>
      <c r="E82" s="23" t="n">
        <v>10317000000</v>
      </c>
      <c r="F82" s="23" t="n">
        <v>5229000000</v>
      </c>
      <c r="G82" s="23" t="n">
        <v>6202000000</v>
      </c>
      <c r="H82" s="23" t="n">
        <v>4089000000</v>
      </c>
      <c r="I82" s="4" t="n">
        <v>10.46</v>
      </c>
      <c r="J82" s="23" t="n">
        <v>389500000</v>
      </c>
      <c r="K82" s="23" t="n">
        <v>264000000</v>
      </c>
      <c r="L82" s="23" t="n">
        <v>4472000000</v>
      </c>
      <c r="M82" s="23" t="n">
        <v>-919000000</v>
      </c>
      <c r="N82" s="23" t="n">
        <v>3553000000</v>
      </c>
      <c r="O82" s="23" t="n">
        <v>-50000000</v>
      </c>
      <c r="P82" s="23" t="n">
        <v>11169000000</v>
      </c>
      <c r="Q82" s="23" t="n">
        <v>803000000</v>
      </c>
      <c r="R82" s="23" t="n">
        <v>19469000000</v>
      </c>
      <c r="S82" s="4" t="n">
        <v>30.3632030505243</v>
      </c>
    </row>
    <row r="83" customFormat="false" ht="15" hidden="false" customHeight="false" outlineLevel="0" collapsed="false">
      <c r="A83" s="4" t="s">
        <v>172</v>
      </c>
      <c r="B83" s="4" t="n">
        <v>2024</v>
      </c>
      <c r="C83" s="4" t="s">
        <v>572</v>
      </c>
      <c r="D83" s="23" t="n">
        <v>24878000000</v>
      </c>
      <c r="E83" s="23" t="n">
        <v>9499000000</v>
      </c>
      <c r="F83" s="23" t="n">
        <v>4866000000</v>
      </c>
      <c r="G83" s="23" t="n">
        <v>5631000000</v>
      </c>
      <c r="H83" s="23" t="n">
        <v>3794000000</v>
      </c>
      <c r="I83" s="4" t="n">
        <v>9.5</v>
      </c>
      <c r="J83" s="23" t="n">
        <v>399400000</v>
      </c>
      <c r="K83" s="23" t="n">
        <v>144000000</v>
      </c>
      <c r="L83" s="23" t="n">
        <v>4327000000</v>
      </c>
      <c r="M83" s="23" t="n">
        <v>-808000000</v>
      </c>
      <c r="N83" s="23" t="n">
        <v>3519000000</v>
      </c>
      <c r="O83" s="23" t="n">
        <v>0</v>
      </c>
      <c r="P83" s="23" t="n">
        <v>9821000000</v>
      </c>
      <c r="Q83" s="23" t="n">
        <v>2080000000</v>
      </c>
      <c r="R83" s="23" t="n">
        <v>18531000000</v>
      </c>
      <c r="S83" s="4" t="n">
        <v>34.7872117400419</v>
      </c>
    </row>
    <row r="84" customFormat="false" ht="15" hidden="false" customHeight="false" outlineLevel="0" collapsed="false">
      <c r="A84" s="4" t="s">
        <v>172</v>
      </c>
      <c r="B84" s="4" t="n">
        <v>2023</v>
      </c>
      <c r="C84" s="4" t="s">
        <v>573</v>
      </c>
      <c r="D84" s="23" t="n">
        <v>23196000000</v>
      </c>
      <c r="E84" s="23" t="n">
        <v>8433000000</v>
      </c>
      <c r="F84" s="23" t="n">
        <v>3995000000</v>
      </c>
      <c r="G84" s="23" t="n">
        <v>4961000000</v>
      </c>
      <c r="H84" s="23" t="n">
        <v>3218000000</v>
      </c>
      <c r="I84" s="4" t="n">
        <v>8.02</v>
      </c>
      <c r="J84" s="23" t="n">
        <v>401100000</v>
      </c>
      <c r="K84" s="23" t="n">
        <v>208000000</v>
      </c>
      <c r="L84" s="23" t="n">
        <v>3624000000</v>
      </c>
      <c r="M84" s="23" t="n">
        <v>-757000000</v>
      </c>
      <c r="N84" s="23" t="n">
        <v>2867000000</v>
      </c>
      <c r="O84" s="23" t="n">
        <v>0</v>
      </c>
      <c r="P84" s="23" t="n">
        <v>9802000000</v>
      </c>
      <c r="Q84" s="23" t="n">
        <v>2609000000</v>
      </c>
      <c r="R84" s="23" t="n">
        <v>19069000000</v>
      </c>
      <c r="S84" s="4" t="n">
        <v>29.87841191067</v>
      </c>
    </row>
    <row r="85" customFormat="false" ht="15" hidden="false" customHeight="false" outlineLevel="0" collapsed="false">
      <c r="A85" s="4" t="s">
        <v>172</v>
      </c>
      <c r="B85" s="4" t="n">
        <v>2022</v>
      </c>
      <c r="C85" s="4" t="s">
        <v>574</v>
      </c>
      <c r="D85" s="23" t="n">
        <v>20752000000</v>
      </c>
      <c r="E85" s="23" t="n">
        <v>6906000000</v>
      </c>
      <c r="F85" s="23" t="n">
        <v>3241000000</v>
      </c>
      <c r="G85" s="23" t="n">
        <v>3953000000</v>
      </c>
      <c r="H85" s="23" t="n">
        <v>2462000000</v>
      </c>
      <c r="I85" s="4" t="n">
        <v>6.14</v>
      </c>
      <c r="J85" s="23" t="n">
        <v>400800000</v>
      </c>
      <c r="K85" s="23" t="n">
        <v>88000000</v>
      </c>
      <c r="L85" s="23" t="n">
        <v>2533000000</v>
      </c>
      <c r="M85" s="23" t="n">
        <v>-598000000</v>
      </c>
      <c r="N85" s="23" t="n">
        <v>1935000000</v>
      </c>
      <c r="O85" s="23" t="n">
        <v>0</v>
      </c>
      <c r="P85" s="23" t="n">
        <v>9114000000</v>
      </c>
      <c r="Q85" s="23" t="n">
        <v>555000000</v>
      </c>
      <c r="R85" s="23" t="n">
        <v>17076000000</v>
      </c>
      <c r="S85" s="4" t="n">
        <v>25.3964401294498</v>
      </c>
    </row>
    <row r="86" customFormat="false" ht="15" hidden="false" customHeight="false" outlineLevel="0" collapsed="false">
      <c r="A86" s="4" t="s">
        <v>172</v>
      </c>
      <c r="B86" s="4" t="n">
        <v>2021</v>
      </c>
      <c r="C86" s="4" t="s">
        <v>575</v>
      </c>
      <c r="D86" s="23" t="n">
        <v>19628000000</v>
      </c>
      <c r="E86" s="23" t="n">
        <v>6315000000</v>
      </c>
      <c r="F86" s="23" t="n">
        <v>2870000000</v>
      </c>
      <c r="G86" s="23" t="n">
        <v>3962000000</v>
      </c>
      <c r="H86" s="23" t="n">
        <v>2144000000</v>
      </c>
      <c r="I86" s="4" t="n">
        <v>5.34</v>
      </c>
      <c r="J86" s="23" t="n">
        <v>401600000</v>
      </c>
      <c r="K86" s="23" t="n">
        <v>144000000</v>
      </c>
      <c r="L86" s="23" t="n">
        <v>2163000000</v>
      </c>
      <c r="M86" s="23" t="n">
        <v>-575000000</v>
      </c>
      <c r="N86" s="23" t="n">
        <v>1588000000</v>
      </c>
      <c r="O86" s="23" t="n">
        <v>0</v>
      </c>
      <c r="P86" s="23" t="n">
        <v>8916000000</v>
      </c>
      <c r="Q86" s="23" t="n">
        <v>568000000</v>
      </c>
      <c r="R86" s="23" t="n">
        <v>16451000000</v>
      </c>
      <c r="S86" s="4" t="n">
        <v>32.1226765799257</v>
      </c>
    </row>
    <row r="87" customFormat="false" ht="15" hidden="false" customHeight="false" outlineLevel="0" collapsed="false">
      <c r="A87" s="4" t="s">
        <v>176</v>
      </c>
      <c r="B87" s="4" t="n">
        <v>2025</v>
      </c>
      <c r="C87" s="4" t="s">
        <v>103</v>
      </c>
      <c r="D87" s="23" t="n">
        <v>45855000000</v>
      </c>
      <c r="E87" s="23" t="n">
        <v>16887000000</v>
      </c>
      <c r="F87" s="23" t="n">
        <v>8770000000</v>
      </c>
      <c r="G87" s="23" t="n">
        <v>12063000000</v>
      </c>
      <c r="H87" s="23" t="n">
        <v>8704000000</v>
      </c>
      <c r="I87" s="4" t="n">
        <v>8.16</v>
      </c>
      <c r="J87" s="23" t="n">
        <v>1067000000</v>
      </c>
      <c r="K87" s="23" t="n">
        <v>843000000</v>
      </c>
      <c r="L87" s="23" t="n">
        <v>8537000000</v>
      </c>
      <c r="M87" s="23" t="n">
        <v>-1273000000</v>
      </c>
      <c r="N87" s="23" t="n">
        <v>7264000000</v>
      </c>
      <c r="O87" s="23" t="n">
        <v>0</v>
      </c>
      <c r="P87" s="23" t="n">
        <v>20494000000</v>
      </c>
      <c r="Q87" s="23" t="n">
        <v>12392000000</v>
      </c>
      <c r="R87" s="23" t="n">
        <v>18898000000</v>
      </c>
      <c r="S87" s="4" t="n">
        <v>37.7487745098039</v>
      </c>
    </row>
    <row r="88" customFormat="false" ht="15" hidden="false" customHeight="false" outlineLevel="0" collapsed="false">
      <c r="A88" s="4" t="s">
        <v>176</v>
      </c>
      <c r="B88" s="4" t="n">
        <v>2024</v>
      </c>
      <c r="C88" s="4" t="s">
        <v>572</v>
      </c>
      <c r="D88" s="23" t="n">
        <v>38702000000</v>
      </c>
      <c r="E88" s="23" t="n">
        <v>14394000000</v>
      </c>
      <c r="F88" s="23" t="n">
        <v>6761000000</v>
      </c>
      <c r="G88" s="23" t="n">
        <v>9790000000</v>
      </c>
      <c r="H88" s="23" t="n">
        <v>6556000000</v>
      </c>
      <c r="I88" s="4" t="n">
        <v>5.99</v>
      </c>
      <c r="J88" s="23" t="n">
        <v>1094000000</v>
      </c>
      <c r="K88" s="23" t="n">
        <v>986000000</v>
      </c>
      <c r="L88" s="23" t="n">
        <v>4710000000</v>
      </c>
      <c r="M88" s="23" t="n">
        <v>-1032000000</v>
      </c>
      <c r="N88" s="23" t="n">
        <v>3678000000</v>
      </c>
      <c r="O88" s="23" t="n">
        <v>33000000</v>
      </c>
      <c r="P88" s="23" t="n">
        <v>20378000000</v>
      </c>
      <c r="Q88" s="23" t="n">
        <v>14601000000</v>
      </c>
      <c r="R88" s="23" t="n">
        <v>19565000000</v>
      </c>
      <c r="S88" s="4" t="n">
        <v>27.614238410596</v>
      </c>
    </row>
    <row r="89" customFormat="false" ht="15" hidden="false" customHeight="false" outlineLevel="0" collapsed="false">
      <c r="A89" s="4" t="s">
        <v>176</v>
      </c>
      <c r="B89" s="4" t="n">
        <v>2023</v>
      </c>
      <c r="C89" s="4" t="s">
        <v>573</v>
      </c>
      <c r="D89" s="23" t="n">
        <v>35348000000</v>
      </c>
      <c r="E89" s="23" t="n">
        <v>12409000000</v>
      </c>
      <c r="F89" s="23" t="n">
        <v>4717000000</v>
      </c>
      <c r="G89" s="23" t="n">
        <v>12649000000</v>
      </c>
      <c r="H89" s="23" t="n">
        <v>9482000000</v>
      </c>
      <c r="I89" s="4" t="n">
        <v>8.36</v>
      </c>
      <c r="J89" s="23" t="n">
        <v>1099000000</v>
      </c>
      <c r="K89" s="23" t="n">
        <v>1029000000</v>
      </c>
      <c r="L89" s="23" t="n">
        <v>5179000000</v>
      </c>
      <c r="M89" s="23" t="n">
        <v>-1595000000</v>
      </c>
      <c r="N89" s="23" t="n">
        <v>3584000000</v>
      </c>
      <c r="O89" s="23" t="n">
        <v>360000000</v>
      </c>
      <c r="P89" s="23" t="n">
        <v>21764000000</v>
      </c>
      <c r="Q89" s="23" t="n">
        <v>20910000000</v>
      </c>
      <c r="R89" s="23" t="n">
        <v>28605000000</v>
      </c>
      <c r="S89" s="4" t="n">
        <v>12.0604265402844</v>
      </c>
    </row>
    <row r="90" customFormat="false" ht="15" hidden="false" customHeight="false" outlineLevel="0" collapsed="false">
      <c r="A90" s="4" t="s">
        <v>176</v>
      </c>
      <c r="B90" s="4" t="n">
        <v>2022</v>
      </c>
      <c r="C90" s="4" t="s">
        <v>574</v>
      </c>
      <c r="D90" s="23" t="n">
        <v>29139000000</v>
      </c>
      <c r="E90" s="23" t="n">
        <v>10152000000</v>
      </c>
      <c r="F90" s="23" t="n">
        <v>3596000000</v>
      </c>
      <c r="G90" s="23" t="n">
        <v>4045000000</v>
      </c>
      <c r="H90" s="23" t="n">
        <v>336000000</v>
      </c>
      <c r="I90" s="4" t="n">
        <v>0.043</v>
      </c>
      <c r="J90" s="23" t="n">
        <v>1096000000</v>
      </c>
      <c r="K90" s="23" t="n">
        <v>1339000000</v>
      </c>
      <c r="L90" s="23" t="n">
        <v>5916000000</v>
      </c>
      <c r="M90" s="23" t="n">
        <v>-1174000000</v>
      </c>
      <c r="N90" s="23" t="n">
        <v>4742000000</v>
      </c>
      <c r="O90" s="23" t="n">
        <v>263000000</v>
      </c>
      <c r="P90" s="23" t="n">
        <v>26148000000</v>
      </c>
      <c r="Q90" s="23" t="n">
        <v>23419000000</v>
      </c>
      <c r="R90" s="23" t="n">
        <v>34912000000</v>
      </c>
      <c r="S90" s="4" t="n">
        <v>1212.79069767442</v>
      </c>
    </row>
    <row r="91" customFormat="false" ht="15" hidden="false" customHeight="false" outlineLevel="0" collapsed="false">
      <c r="A91" s="4" t="s">
        <v>176</v>
      </c>
      <c r="B91" s="4" t="n">
        <v>2021</v>
      </c>
      <c r="C91" s="4" t="s">
        <v>575</v>
      </c>
      <c r="D91" s="23" t="n">
        <v>56469000000</v>
      </c>
      <c r="E91" s="23" t="n">
        <v>13091000000</v>
      </c>
      <c r="F91" s="23" t="n">
        <v>1058000000</v>
      </c>
      <c r="G91" s="23" t="n">
        <v>-1545000000</v>
      </c>
      <c r="H91" s="23" t="n">
        <v>-6337000000</v>
      </c>
      <c r="I91" s="4" t="n">
        <v>-6.16</v>
      </c>
      <c r="J91" s="23" t="n">
        <v>1098000000</v>
      </c>
      <c r="K91" s="23" t="n">
        <v>1790000000</v>
      </c>
      <c r="L91" s="23" t="n">
        <v>3481000000</v>
      </c>
      <c r="M91" s="23" t="n">
        <v>-1113000000</v>
      </c>
      <c r="N91" s="23" t="n">
        <v>2368000000</v>
      </c>
      <c r="O91" s="23" t="n">
        <v>0</v>
      </c>
      <c r="P91" s="23" t="n">
        <v>38033000000</v>
      </c>
      <c r="Q91" s="23" t="n">
        <v>28067000000</v>
      </c>
      <c r="R91" s="23" t="n">
        <v>41760000000</v>
      </c>
      <c r="S91" s="4" t="n">
        <v>-9.54383116883117</v>
      </c>
    </row>
    <row r="92" customFormat="false" ht="15" hidden="false" customHeight="false" outlineLevel="0" collapsed="false">
      <c r="A92" s="4" t="s">
        <v>179</v>
      </c>
      <c r="B92" s="4" t="n">
        <v>2025</v>
      </c>
      <c r="C92" s="4" t="s">
        <v>103</v>
      </c>
      <c r="D92" s="23" t="n">
        <v>402836000000</v>
      </c>
      <c r="E92" s="23" t="n">
        <v>240301000000</v>
      </c>
      <c r="F92" s="23" t="n">
        <v>129165000000</v>
      </c>
      <c r="G92" s="23" t="n">
        <v>180698000000</v>
      </c>
      <c r="H92" s="23" t="n">
        <v>132170000000</v>
      </c>
      <c r="I92" s="4" t="n">
        <v>10.81</v>
      </c>
      <c r="J92" s="23" t="n">
        <v>12230000000</v>
      </c>
      <c r="K92" s="23" t="n">
        <v>736000000</v>
      </c>
      <c r="L92" s="23" t="n">
        <v>164713000000</v>
      </c>
      <c r="M92" s="23" t="n">
        <v>-91447000000</v>
      </c>
      <c r="N92" s="23" t="n">
        <v>73266000000</v>
      </c>
      <c r="O92" s="23" t="n">
        <v>24953000000</v>
      </c>
      <c r="P92" s="23" t="n">
        <v>59291000000</v>
      </c>
      <c r="Q92" s="23" t="n">
        <v>126843000000</v>
      </c>
      <c r="R92" s="23" t="n">
        <v>415265000000</v>
      </c>
      <c r="S92" s="4" t="n">
        <v>28.762603116407</v>
      </c>
    </row>
    <row r="93" customFormat="false" ht="15" hidden="false" customHeight="false" outlineLevel="0" collapsed="false">
      <c r="A93" s="4" t="s">
        <v>179</v>
      </c>
      <c r="B93" s="4" t="n">
        <v>2024</v>
      </c>
      <c r="C93" s="4" t="s">
        <v>572</v>
      </c>
      <c r="D93" s="23" t="n">
        <v>350018000000</v>
      </c>
      <c r="E93" s="23" t="n">
        <v>203712000000</v>
      </c>
      <c r="F93" s="23" t="n">
        <v>112390000000</v>
      </c>
      <c r="G93" s="23" t="n">
        <v>135394000000</v>
      </c>
      <c r="H93" s="23" t="n">
        <v>100118000000</v>
      </c>
      <c r="I93" s="4" t="n">
        <v>8.04</v>
      </c>
      <c r="J93" s="23" t="n">
        <v>12447000000</v>
      </c>
      <c r="K93" s="23" t="n">
        <v>268000000</v>
      </c>
      <c r="L93" s="23" t="n">
        <v>125299000000</v>
      </c>
      <c r="M93" s="23" t="n">
        <v>-52535000000</v>
      </c>
      <c r="N93" s="23" t="n">
        <v>72764000000</v>
      </c>
      <c r="O93" s="23" t="n">
        <v>22785000000</v>
      </c>
      <c r="P93" s="23" t="n">
        <v>25461000000</v>
      </c>
      <c r="Q93" s="23" t="n">
        <v>95657000000</v>
      </c>
      <c r="R93" s="23" t="n">
        <v>325084000000</v>
      </c>
      <c r="S93" s="4" t="n">
        <v>23.4243542435424</v>
      </c>
    </row>
    <row r="94" customFormat="false" ht="15" hidden="false" customHeight="false" outlineLevel="0" collapsed="false">
      <c r="A94" s="4" t="s">
        <v>179</v>
      </c>
      <c r="B94" s="4" t="n">
        <v>2023</v>
      </c>
      <c r="C94" s="4" t="s">
        <v>573</v>
      </c>
      <c r="D94" s="23" t="n">
        <v>307394000000</v>
      </c>
      <c r="E94" s="23" t="n">
        <v>174062000000</v>
      </c>
      <c r="F94" s="23" t="n">
        <v>84293000000</v>
      </c>
      <c r="G94" s="23" t="n">
        <v>97971000000</v>
      </c>
      <c r="H94" s="23" t="n">
        <v>73795000000</v>
      </c>
      <c r="I94" s="4" t="n">
        <v>5.8</v>
      </c>
      <c r="J94" s="23" t="n">
        <v>12722000000</v>
      </c>
      <c r="K94" s="23" t="n">
        <v>308000000</v>
      </c>
      <c r="L94" s="23" t="n">
        <v>101746000000</v>
      </c>
      <c r="M94" s="23" t="n">
        <v>-32251000000</v>
      </c>
      <c r="N94" s="23" t="n">
        <v>69495000000</v>
      </c>
      <c r="O94" s="23" t="n">
        <v>22460000000</v>
      </c>
      <c r="P94" s="23" t="n">
        <v>27121000000</v>
      </c>
      <c r="Q94" s="23" t="n">
        <v>110916000000</v>
      </c>
      <c r="R94" s="23" t="n">
        <v>283379000000</v>
      </c>
      <c r="S94" s="4" t="n">
        <v>24.1318493150685</v>
      </c>
    </row>
    <row r="95" customFormat="false" ht="15" hidden="false" customHeight="false" outlineLevel="0" collapsed="false">
      <c r="A95" s="4" t="s">
        <v>179</v>
      </c>
      <c r="B95" s="4" t="n">
        <v>2022</v>
      </c>
      <c r="C95" s="4" t="s">
        <v>574</v>
      </c>
      <c r="D95" s="23" t="n">
        <v>282836000000</v>
      </c>
      <c r="E95" s="23" t="n">
        <v>156633000000</v>
      </c>
      <c r="F95" s="23" t="n">
        <v>74842000000</v>
      </c>
      <c r="G95" s="23" t="n">
        <v>85160000000</v>
      </c>
      <c r="H95" s="23" t="n">
        <v>59972000000</v>
      </c>
      <c r="I95" s="4" t="n">
        <v>4.56</v>
      </c>
      <c r="J95" s="23" t="n">
        <v>13159000000</v>
      </c>
      <c r="K95" s="23" t="n">
        <v>357000000</v>
      </c>
      <c r="L95" s="23" t="n">
        <v>91495000000</v>
      </c>
      <c r="M95" s="23" t="n">
        <v>-31485000000</v>
      </c>
      <c r="N95" s="23" t="n">
        <v>60010000000</v>
      </c>
      <c r="O95" s="23" t="n">
        <v>19362000000</v>
      </c>
      <c r="P95" s="23" t="n">
        <v>29679000000</v>
      </c>
      <c r="Q95" s="23" t="n">
        <v>113762000000</v>
      </c>
      <c r="R95" s="23" t="n">
        <v>256144000000</v>
      </c>
      <c r="S95" s="4" t="n">
        <v>19.3311546840959</v>
      </c>
    </row>
    <row r="96" customFormat="false" ht="15" hidden="false" customHeight="false" outlineLevel="0" collapsed="false">
      <c r="A96" s="4" t="s">
        <v>179</v>
      </c>
      <c r="B96" s="4" t="n">
        <v>2021</v>
      </c>
      <c r="C96" s="4" t="s">
        <v>575</v>
      </c>
      <c r="D96" s="23" t="n">
        <v>257637000000</v>
      </c>
      <c r="E96" s="23" t="n">
        <v>146698000000</v>
      </c>
      <c r="F96" s="23" t="n">
        <v>78714000000</v>
      </c>
      <c r="G96" s="23" t="n">
        <v>103521000000</v>
      </c>
      <c r="H96" s="23" t="n">
        <v>76033000000</v>
      </c>
      <c r="I96" s="4" t="n">
        <v>5.61</v>
      </c>
      <c r="J96" s="23" t="n">
        <v>13553480000</v>
      </c>
      <c r="K96" s="23" t="n">
        <v>346000000</v>
      </c>
      <c r="L96" s="23" t="n">
        <v>91652000000</v>
      </c>
      <c r="M96" s="23" t="n">
        <v>-24640000000</v>
      </c>
      <c r="N96" s="23" t="n">
        <v>67012000000</v>
      </c>
      <c r="O96" s="23" t="n">
        <v>15376000000</v>
      </c>
      <c r="P96" s="23" t="n">
        <v>28508000000</v>
      </c>
      <c r="Q96" s="23" t="n">
        <v>139649000000</v>
      </c>
      <c r="R96" s="23" t="n">
        <v>251635000000</v>
      </c>
      <c r="S96" s="4" t="n">
        <v>25.427065026362</v>
      </c>
    </row>
    <row r="97" customFormat="false" ht="15" hidden="false" customHeight="false" outlineLevel="0" collapsed="false">
      <c r="A97" s="4" t="s">
        <v>182</v>
      </c>
      <c r="B97" s="4" t="n">
        <v>2025</v>
      </c>
      <c r="C97" s="4" t="s">
        <v>103</v>
      </c>
      <c r="D97" s="23" t="n">
        <v>125097000000</v>
      </c>
      <c r="E97" s="23" t="n">
        <v>59396000000</v>
      </c>
      <c r="F97" s="23" t="n">
        <v>21852000000</v>
      </c>
      <c r="G97" s="23" t="n">
        <v>24034000000</v>
      </c>
      <c r="H97" s="23" t="n">
        <v>17176000000</v>
      </c>
      <c r="I97" s="4" t="n">
        <v>51.32</v>
      </c>
      <c r="J97" s="23" t="n">
        <v>317600000</v>
      </c>
      <c r="K97" s="23" t="n">
        <v>66814000000</v>
      </c>
      <c r="L97" s="23" t="n">
        <v>-45154000000</v>
      </c>
      <c r="M97" s="23" t="n">
        <v>-2064000000</v>
      </c>
      <c r="N97" s="23" t="n">
        <v>-47218000000</v>
      </c>
      <c r="O97" s="23" t="n">
        <v>3445000000</v>
      </c>
      <c r="P97" s="23" t="n">
        <v>609534000000</v>
      </c>
      <c r="Q97" s="23" t="n">
        <v>624527000000</v>
      </c>
      <c r="R97" s="23" t="n">
        <v>124972000000</v>
      </c>
      <c r="S97" s="4" t="n">
        <v>16.9201154956689</v>
      </c>
    </row>
    <row r="98" customFormat="false" ht="15" hidden="false" customHeight="false" outlineLevel="0" collapsed="false">
      <c r="A98" s="4" t="s">
        <v>182</v>
      </c>
      <c r="B98" s="4" t="n">
        <v>2024</v>
      </c>
      <c r="C98" s="4" t="s">
        <v>572</v>
      </c>
      <c r="D98" s="23" t="n">
        <v>126853000000</v>
      </c>
      <c r="E98" s="23" t="n">
        <v>52164000000</v>
      </c>
      <c r="F98" s="23" t="n">
        <v>18397000000</v>
      </c>
      <c r="G98" s="23" t="n">
        <v>20789000000</v>
      </c>
      <c r="H98" s="23" t="n">
        <v>14276000000</v>
      </c>
      <c r="I98" s="4" t="n">
        <v>40.54</v>
      </c>
      <c r="J98" s="23" t="n">
        <v>333600000</v>
      </c>
      <c r="K98" s="23" t="n">
        <v>73341000000</v>
      </c>
      <c r="L98" s="23" t="n">
        <v>-13212000000</v>
      </c>
      <c r="M98" s="23" t="n">
        <v>-2091000000</v>
      </c>
      <c r="N98" s="23" t="n">
        <v>-15303000000</v>
      </c>
      <c r="O98" s="23" t="n">
        <v>2663000000</v>
      </c>
      <c r="P98" s="23" t="n">
        <v>616935000000</v>
      </c>
      <c r="Q98" s="23" t="n">
        <v>921830000000</v>
      </c>
      <c r="R98" s="23" t="n">
        <v>121996000000</v>
      </c>
      <c r="S98" s="4" t="n">
        <v>13.8918000970403</v>
      </c>
    </row>
    <row r="99" customFormat="false" ht="15" hidden="false" customHeight="false" outlineLevel="0" collapsed="false">
      <c r="A99" s="4" t="s">
        <v>182</v>
      </c>
      <c r="B99" s="4" t="n">
        <v>2023</v>
      </c>
      <c r="C99" s="4" t="s">
        <v>573</v>
      </c>
      <c r="D99" s="23" t="n">
        <v>108418000000</v>
      </c>
      <c r="E99" s="23" t="n">
        <v>45226000000</v>
      </c>
      <c r="F99" s="23" t="n">
        <v>10739000000</v>
      </c>
      <c r="G99" s="23" t="n">
        <v>15595000000</v>
      </c>
      <c r="H99" s="23" t="n">
        <v>8516000000</v>
      </c>
      <c r="I99" s="4" t="n">
        <v>22.87</v>
      </c>
      <c r="J99" s="23" t="n">
        <v>345800000</v>
      </c>
      <c r="K99" s="23" t="n">
        <v>62164000000</v>
      </c>
      <c r="L99" s="23" t="n">
        <v>-12587000000</v>
      </c>
      <c r="M99" s="23" t="n">
        <v>-2316000000</v>
      </c>
      <c r="N99" s="23" t="n">
        <v>-14903000000</v>
      </c>
      <c r="O99" s="23" t="n">
        <v>2085000000</v>
      </c>
      <c r="P99" s="23" t="n">
        <v>583135000000</v>
      </c>
      <c r="Q99" s="23" t="n">
        <v>924945000000</v>
      </c>
      <c r="R99" s="23" t="n">
        <v>116905000000</v>
      </c>
      <c r="S99" s="4" t="n">
        <v>16.7362255965293</v>
      </c>
    </row>
    <row r="100" customFormat="false" ht="15" hidden="false" customHeight="false" outlineLevel="0" collapsed="false">
      <c r="A100" s="4" t="s">
        <v>182</v>
      </c>
      <c r="B100" s="4" t="n">
        <v>2022</v>
      </c>
      <c r="C100" s="4" t="s">
        <v>574</v>
      </c>
      <c r="D100" s="23" t="n">
        <v>68711000000</v>
      </c>
      <c r="E100" s="23" t="n">
        <v>44650000000</v>
      </c>
      <c r="F100" s="23" t="n">
        <v>13486000000</v>
      </c>
      <c r="G100" s="23" t="n">
        <v>15941000000</v>
      </c>
      <c r="H100" s="23" t="n">
        <v>11261000000</v>
      </c>
      <c r="I100" s="4" t="n">
        <v>30.06</v>
      </c>
      <c r="J100" s="23" t="n">
        <v>358100000</v>
      </c>
      <c r="K100" s="23" t="n">
        <v>21346000000</v>
      </c>
      <c r="L100" s="23" t="n">
        <v>8708000000</v>
      </c>
      <c r="M100" s="23" t="n">
        <v>-3748000000</v>
      </c>
      <c r="N100" s="23" t="n">
        <v>4960000000</v>
      </c>
      <c r="O100" s="23" t="n">
        <v>4083000000</v>
      </c>
      <c r="P100" s="23" t="n">
        <v>434548000000</v>
      </c>
      <c r="Q100" s="23" t="n">
        <v>721954000000</v>
      </c>
      <c r="R100" s="23" t="n">
        <v>117189000000</v>
      </c>
      <c r="S100" s="4" t="n">
        <v>11.2325809617272</v>
      </c>
    </row>
    <row r="101" customFormat="false" ht="15" hidden="false" customHeight="false" outlineLevel="0" collapsed="false">
      <c r="A101" s="4" t="s">
        <v>182</v>
      </c>
      <c r="B101" s="4" t="n">
        <v>2021</v>
      </c>
      <c r="C101" s="4" t="s">
        <v>575</v>
      </c>
      <c r="D101" s="23" t="n">
        <v>64989000000</v>
      </c>
      <c r="E101" s="23" t="n">
        <v>58982000000</v>
      </c>
      <c r="F101" s="23" t="n">
        <v>27044000000</v>
      </c>
      <c r="G101" s="23" t="n">
        <v>29059000000</v>
      </c>
      <c r="H101" s="23" t="n">
        <v>21635000000</v>
      </c>
      <c r="I101" s="4" t="n">
        <v>59.45</v>
      </c>
      <c r="J101" s="23" t="n">
        <v>355800000</v>
      </c>
      <c r="K101" s="23" t="n">
        <v>5650000000</v>
      </c>
      <c r="L101" s="23" t="n">
        <v>6298000000</v>
      </c>
      <c r="M101" s="23" t="n">
        <v>-4667000000</v>
      </c>
      <c r="N101" s="23" t="n">
        <v>1631000000</v>
      </c>
      <c r="O101" s="23" t="n">
        <v>2553000000</v>
      </c>
      <c r="P101" s="23" t="n">
        <v>487762000000</v>
      </c>
      <c r="Q101" s="23" t="n">
        <v>778720000000</v>
      </c>
      <c r="R101" s="23" t="n">
        <v>109926000000</v>
      </c>
      <c r="S101" s="4" t="n">
        <v>6.33885666942834</v>
      </c>
    </row>
    <row r="102" customFormat="false" ht="15" hidden="false" customHeight="false" outlineLevel="0" collapsed="false">
      <c r="A102" s="4" t="s">
        <v>185</v>
      </c>
      <c r="B102" s="4" t="n">
        <v>2026</v>
      </c>
      <c r="C102" s="4" t="s">
        <v>187</v>
      </c>
      <c r="D102" s="23" t="n">
        <v>21448000000</v>
      </c>
      <c r="E102" s="23" t="n">
        <v>17195000000</v>
      </c>
      <c r="F102" s="23" t="n">
        <v>6177000000</v>
      </c>
      <c r="G102" s="23" t="n">
        <v>7119000000</v>
      </c>
      <c r="H102" s="23" t="n">
        <v>4566000000</v>
      </c>
      <c r="I102" s="4" t="n">
        <v>16.46</v>
      </c>
      <c r="J102" s="23" t="n">
        <v>277000000</v>
      </c>
      <c r="K102" s="23" t="n">
        <v>256000000</v>
      </c>
      <c r="L102" s="23" t="n">
        <v>8838000000</v>
      </c>
      <c r="M102" s="23" t="n">
        <v>-221000000</v>
      </c>
      <c r="N102" s="23" t="n">
        <v>8617000000</v>
      </c>
      <c r="O102" s="23" t="n">
        <v>2056000000</v>
      </c>
      <c r="P102" s="23" t="n">
        <v>8421000000</v>
      </c>
      <c r="Q102" s="23" t="n">
        <v>7200000000</v>
      </c>
      <c r="R102" s="23" t="n">
        <v>18992000000</v>
      </c>
      <c r="S102" s="4" t="n">
        <v>19.1209921355112</v>
      </c>
    </row>
    <row r="103" customFormat="false" ht="15" hidden="false" customHeight="false" outlineLevel="0" collapsed="false">
      <c r="A103" s="4" t="s">
        <v>185</v>
      </c>
      <c r="B103" s="4" t="n">
        <v>2025</v>
      </c>
      <c r="C103" s="4" t="s">
        <v>592</v>
      </c>
      <c r="D103" s="23" t="n">
        <v>18831000000</v>
      </c>
      <c r="E103" s="23" t="n">
        <v>14983000000</v>
      </c>
      <c r="F103" s="23" t="n">
        <v>4938000000</v>
      </c>
      <c r="G103" s="23" t="n">
        <v>5890000000</v>
      </c>
      <c r="H103" s="23" t="n">
        <v>3869000000</v>
      </c>
      <c r="I103" s="4" t="n">
        <v>13.67</v>
      </c>
      <c r="J103" s="23" t="n">
        <v>283000000</v>
      </c>
      <c r="K103" s="23" t="n">
        <v>247000000</v>
      </c>
      <c r="L103" s="23" t="n">
        <v>6207000000</v>
      </c>
      <c r="M103" s="23" t="n">
        <v>-124000000</v>
      </c>
      <c r="N103" s="23" t="n">
        <v>6083000000</v>
      </c>
      <c r="O103" s="23" t="n">
        <v>1968000000</v>
      </c>
      <c r="P103" s="23" t="n">
        <v>6639000000</v>
      </c>
      <c r="Q103" s="23" t="n">
        <v>4552000000</v>
      </c>
      <c r="R103" s="23" t="n">
        <v>19710000000</v>
      </c>
      <c r="S103" s="4" t="n">
        <v>56.8111432706223</v>
      </c>
    </row>
    <row r="104" customFormat="false" ht="15" hidden="false" customHeight="false" outlineLevel="0" collapsed="false">
      <c r="A104" s="4" t="s">
        <v>185</v>
      </c>
      <c r="B104" s="4" t="n">
        <v>2024</v>
      </c>
      <c r="C104" s="4" t="s">
        <v>593</v>
      </c>
      <c r="D104" s="23" t="n">
        <v>16285000000</v>
      </c>
      <c r="E104" s="23" t="n">
        <v>12820000000</v>
      </c>
      <c r="F104" s="23" t="n">
        <v>3630000000</v>
      </c>
      <c r="G104" s="23" t="n">
        <v>4581000000</v>
      </c>
      <c r="H104" s="23" t="n">
        <v>2963000000</v>
      </c>
      <c r="I104" s="4" t="n">
        <v>10.43</v>
      </c>
      <c r="J104" s="23" t="n">
        <v>284000000</v>
      </c>
      <c r="K104" s="23" t="n">
        <v>242000000</v>
      </c>
      <c r="L104" s="23" t="n">
        <v>4884000000</v>
      </c>
      <c r="M104" s="23" t="n">
        <v>-250000000</v>
      </c>
      <c r="N104" s="23" t="n">
        <v>4634000000</v>
      </c>
      <c r="O104" s="23" t="n">
        <v>1940000000</v>
      </c>
      <c r="P104" s="23" t="n">
        <v>6567000000</v>
      </c>
      <c r="Q104" s="23" t="n">
        <v>4074000000</v>
      </c>
      <c r="R104" s="23" t="n">
        <v>18436000000</v>
      </c>
      <c r="S104" s="4" t="n">
        <v>61.1862003780718</v>
      </c>
    </row>
    <row r="105" customFormat="false" ht="15" hidden="false" customHeight="false" outlineLevel="0" collapsed="false">
      <c r="A105" s="4" t="s">
        <v>185</v>
      </c>
      <c r="B105" s="4" t="n">
        <v>2023</v>
      </c>
      <c r="C105" s="4" t="s">
        <v>594</v>
      </c>
      <c r="D105" s="23" t="n">
        <v>14368000000</v>
      </c>
      <c r="E105" s="23" t="n">
        <v>11225000000</v>
      </c>
      <c r="F105" s="23" t="n">
        <v>3141000000</v>
      </c>
      <c r="G105" s="23" t="n">
        <v>4043000000</v>
      </c>
      <c r="H105" s="23" t="n">
        <v>2384000000</v>
      </c>
      <c r="I105" s="4" t="n">
        <v>8.42</v>
      </c>
      <c r="J105" s="23" t="n">
        <v>283000000</v>
      </c>
      <c r="K105" s="23" t="n">
        <v>248000000</v>
      </c>
      <c r="L105" s="23" t="n">
        <v>5046000000</v>
      </c>
      <c r="M105" s="23" t="n">
        <v>-260000000</v>
      </c>
      <c r="N105" s="23" t="n">
        <v>4786000000</v>
      </c>
      <c r="O105" s="23" t="n">
        <v>1712000000</v>
      </c>
      <c r="P105" s="23" t="n">
        <v>6689000000</v>
      </c>
      <c r="Q105" s="23" t="n">
        <v>3662000000</v>
      </c>
      <c r="R105" s="23" t="n">
        <v>17269000000</v>
      </c>
      <c r="S105" s="4" t="n">
        <v>60.3419811320755</v>
      </c>
    </row>
    <row r="106" customFormat="false" ht="15" hidden="false" customHeight="false" outlineLevel="0" collapsed="false">
      <c r="A106" s="4" t="s">
        <v>185</v>
      </c>
      <c r="B106" s="4" t="n">
        <v>2022</v>
      </c>
      <c r="C106" s="4" t="s">
        <v>595</v>
      </c>
      <c r="D106" s="23" t="n">
        <v>12726000000</v>
      </c>
      <c r="E106" s="23" t="n">
        <v>10320000000</v>
      </c>
      <c r="F106" s="23" t="n">
        <v>2571000000</v>
      </c>
      <c r="G106" s="23" t="n">
        <v>3369000000</v>
      </c>
      <c r="H106" s="23" t="n">
        <v>2066000000</v>
      </c>
      <c r="I106" s="4" t="n">
        <v>7.27</v>
      </c>
      <c r="J106" s="23" t="n">
        <v>284000000</v>
      </c>
      <c r="K106" s="23" t="n">
        <v>81000000</v>
      </c>
      <c r="L106" s="23" t="n">
        <v>3889000000</v>
      </c>
      <c r="M106" s="23" t="n">
        <v>-229000000</v>
      </c>
      <c r="N106" s="23" t="n">
        <v>3660000000</v>
      </c>
      <c r="O106" s="23" t="n">
        <v>1308000000</v>
      </c>
      <c r="P106" s="23" t="n">
        <v>7540000000</v>
      </c>
      <c r="Q106" s="23" t="n">
        <v>3281000000</v>
      </c>
      <c r="R106" s="23" t="n">
        <v>16441000000</v>
      </c>
      <c r="S106" s="4" t="n">
        <v>60.7669376693767</v>
      </c>
    </row>
    <row r="107" customFormat="false" ht="15" hidden="false" customHeight="false" outlineLevel="0" collapsed="false">
      <c r="A107" s="4" t="s">
        <v>189</v>
      </c>
      <c r="B107" s="4" t="n">
        <v>2025</v>
      </c>
      <c r="C107" s="4" t="s">
        <v>103</v>
      </c>
      <c r="D107" s="23" t="n">
        <v>10064700000</v>
      </c>
      <c r="E107" s="23" t="n">
        <v>6642300000</v>
      </c>
      <c r="F107" s="23" t="n">
        <v>2945500000</v>
      </c>
      <c r="G107" s="23" t="n">
        <v>3988500000</v>
      </c>
      <c r="H107" s="23" t="n">
        <v>2856000000</v>
      </c>
      <c r="I107" s="4" t="n">
        <v>7.87</v>
      </c>
      <c r="J107" s="23" t="n">
        <v>362700000</v>
      </c>
      <c r="K107" s="23" t="n">
        <v>0</v>
      </c>
      <c r="L107" s="23" t="n">
        <v>3030500000</v>
      </c>
      <c r="M107" s="23" t="n">
        <v>-539800000</v>
      </c>
      <c r="N107" s="23" t="n">
        <v>2490700000</v>
      </c>
      <c r="O107" s="23" t="n">
        <v>788200000</v>
      </c>
      <c r="P107" s="23" t="n">
        <v>302800000</v>
      </c>
      <c r="Q107" s="23" t="n">
        <v>5934900000</v>
      </c>
      <c r="R107" s="23" t="n">
        <v>17941700000</v>
      </c>
      <c r="S107" s="4" t="n">
        <v>70.795</v>
      </c>
    </row>
    <row r="108" customFormat="false" ht="15" hidden="false" customHeight="false" outlineLevel="0" collapsed="false">
      <c r="A108" s="4" t="s">
        <v>189</v>
      </c>
      <c r="B108" s="4" t="n">
        <v>2024</v>
      </c>
      <c r="C108" s="4" t="s">
        <v>572</v>
      </c>
      <c r="D108" s="23" t="n">
        <v>8352100000</v>
      </c>
      <c r="E108" s="23" t="n">
        <v>5634200000</v>
      </c>
      <c r="F108" s="23" t="n">
        <v>2348900000</v>
      </c>
      <c r="G108" s="23" t="n">
        <v>3135800000</v>
      </c>
      <c r="H108" s="23" t="n">
        <v>2322600000</v>
      </c>
      <c r="I108" s="4" t="n">
        <v>6.42</v>
      </c>
      <c r="J108" s="23" t="n">
        <v>362000000</v>
      </c>
      <c r="K108" s="23" t="n">
        <v>0</v>
      </c>
      <c r="L108" s="23" t="n">
        <v>2415000000</v>
      </c>
      <c r="M108" s="23" t="n">
        <v>-1111200000</v>
      </c>
      <c r="N108" s="23" t="n">
        <v>1303800000</v>
      </c>
      <c r="O108" s="23" t="n">
        <v>676800000</v>
      </c>
      <c r="P108" s="23" t="n">
        <v>146000000</v>
      </c>
      <c r="Q108" s="23" t="n">
        <v>4013300000</v>
      </c>
      <c r="R108" s="23" t="n">
        <v>16529599999</v>
      </c>
      <c r="S108" s="4" t="n">
        <v>79.8103975535168</v>
      </c>
    </row>
    <row r="109" customFormat="false" ht="15" hidden="false" customHeight="false" outlineLevel="0" collapsed="false">
      <c r="A109" s="4" t="s">
        <v>189</v>
      </c>
      <c r="B109" s="4" t="n">
        <v>2023</v>
      </c>
      <c r="C109" s="4" t="s">
        <v>573</v>
      </c>
      <c r="D109" s="23" t="n">
        <v>7124100000</v>
      </c>
      <c r="E109" s="23" t="n">
        <v>4729500000</v>
      </c>
      <c r="F109" s="23" t="n">
        <v>1766800000</v>
      </c>
      <c r="G109" s="23" t="n">
        <v>2413700000</v>
      </c>
      <c r="H109" s="23" t="n">
        <v>1798000000</v>
      </c>
      <c r="I109" s="4" t="n">
        <v>5.03</v>
      </c>
      <c r="J109" s="23" t="n">
        <v>357400000</v>
      </c>
      <c r="K109" s="23" t="n">
        <v>0</v>
      </c>
      <c r="L109" s="23" t="n">
        <v>1813800000</v>
      </c>
      <c r="M109" s="23" t="n">
        <v>-1064200000</v>
      </c>
      <c r="N109" s="23" t="n">
        <v>749600000</v>
      </c>
      <c r="O109" s="23" t="n">
        <v>598200000</v>
      </c>
      <c r="P109" s="23" t="n">
        <v>0</v>
      </c>
      <c r="Q109" s="23" t="n">
        <v>5223200000</v>
      </c>
      <c r="R109" s="23" t="n">
        <v>13397300000</v>
      </c>
      <c r="S109" s="4" t="n">
        <v>65.890625</v>
      </c>
    </row>
    <row r="110" customFormat="false" ht="15" hidden="false" customHeight="false" outlineLevel="0" collapsed="false">
      <c r="A110" s="4" t="s">
        <v>189</v>
      </c>
      <c r="B110" s="4" t="n">
        <v>2022</v>
      </c>
      <c r="C110" s="4" t="s">
        <v>574</v>
      </c>
      <c r="D110" s="23" t="n">
        <v>6222200000</v>
      </c>
      <c r="E110" s="23" t="n">
        <v>4196000000</v>
      </c>
      <c r="F110" s="23" t="n">
        <v>1577100000</v>
      </c>
      <c r="G110" s="23" t="n">
        <v>1972600000</v>
      </c>
      <c r="H110" s="23" t="n">
        <v>1322300000</v>
      </c>
      <c r="I110" s="4" t="n">
        <v>3.65</v>
      </c>
      <c r="J110" s="23" t="n">
        <v>362000000</v>
      </c>
      <c r="K110" s="23" t="n">
        <v>0</v>
      </c>
      <c r="L110" s="23" t="n">
        <v>1490800000</v>
      </c>
      <c r="M110" s="23" t="n">
        <v>-532400000</v>
      </c>
      <c r="N110" s="23" t="n">
        <v>958400000</v>
      </c>
      <c r="O110" s="23" t="n">
        <v>513200000</v>
      </c>
      <c r="P110" s="23" t="n">
        <v>0</v>
      </c>
      <c r="Q110" s="23" t="n">
        <v>4117900000</v>
      </c>
      <c r="R110" s="23" t="n">
        <v>11112600000</v>
      </c>
      <c r="S110" s="4" t="n">
        <v>71.3306451612903</v>
      </c>
    </row>
    <row r="111" customFormat="false" ht="15" hidden="false" customHeight="false" outlineLevel="0" collapsed="false">
      <c r="A111" s="4" t="s">
        <v>189</v>
      </c>
      <c r="B111" s="4" t="n">
        <v>2021</v>
      </c>
      <c r="C111" s="4" t="s">
        <v>575</v>
      </c>
      <c r="D111" s="23" t="n">
        <v>5710100000</v>
      </c>
      <c r="E111" s="23" t="n">
        <v>3958500000</v>
      </c>
      <c r="F111" s="23" t="n">
        <v>1821000000</v>
      </c>
      <c r="G111" s="23" t="n">
        <v>2200500000</v>
      </c>
      <c r="H111" s="23" t="n">
        <v>1704600000</v>
      </c>
      <c r="I111" s="4" t="n">
        <v>4.66</v>
      </c>
      <c r="J111" s="23" t="n">
        <v>365800000</v>
      </c>
      <c r="K111" s="23" t="n">
        <v>0</v>
      </c>
      <c r="L111" s="23" t="n">
        <v>2089400000</v>
      </c>
      <c r="M111" s="23" t="n">
        <v>-353500000</v>
      </c>
      <c r="N111" s="23" t="n">
        <v>1735900000</v>
      </c>
      <c r="O111" s="23" t="n">
        <v>449200000</v>
      </c>
      <c r="P111" s="23" t="n">
        <v>87000000</v>
      </c>
      <c r="Q111" s="23" t="n">
        <v>4230900000</v>
      </c>
      <c r="R111" s="23" t="n">
        <v>12001900000</v>
      </c>
      <c r="S111" s="4" t="n">
        <v>75.0104384133612</v>
      </c>
    </row>
    <row r="112" customFormat="false" ht="15" hidden="false" customHeight="false" outlineLevel="0" collapsed="false">
      <c r="A112" s="4" t="s">
        <v>192</v>
      </c>
      <c r="B112" s="4" t="n">
        <v>2025</v>
      </c>
      <c r="C112" s="4" t="s">
        <v>195</v>
      </c>
      <c r="D112" s="23" t="n">
        <v>94193000000</v>
      </c>
      <c r="E112" s="23" t="n">
        <v>63937000000</v>
      </c>
      <c r="F112" s="23" t="n">
        <v>25596000000</v>
      </c>
      <c r="G112" s="23" t="n">
        <v>41055000000</v>
      </c>
      <c r="H112" s="23" t="n">
        <v>26804000000</v>
      </c>
      <c r="I112" s="4" t="n">
        <v>11.03</v>
      </c>
      <c r="J112" s="23" t="n">
        <v>2429400000</v>
      </c>
      <c r="K112" s="23" t="n">
        <v>971000000</v>
      </c>
      <c r="L112" s="23" t="n">
        <v>24530000000</v>
      </c>
      <c r="M112" s="23" t="n">
        <v>-4832000000</v>
      </c>
      <c r="N112" s="23" t="n">
        <v>19698000000</v>
      </c>
      <c r="O112" s="23" t="n">
        <v>1354000000</v>
      </c>
      <c r="P112" s="23" t="n">
        <v>47933000000</v>
      </c>
      <c r="Q112" s="23" t="n">
        <v>20102000000</v>
      </c>
      <c r="R112" s="23" t="n">
        <v>81544000000</v>
      </c>
      <c r="S112" s="4" t="n">
        <v>18.8177697189483</v>
      </c>
    </row>
    <row r="113" customFormat="false" ht="15" hidden="false" customHeight="false" outlineLevel="0" collapsed="false">
      <c r="A113" s="4" t="s">
        <v>192</v>
      </c>
      <c r="B113" s="4" t="n">
        <v>2024</v>
      </c>
      <c r="C113" s="4" t="s">
        <v>596</v>
      </c>
      <c r="D113" s="23" t="n">
        <v>88821000000</v>
      </c>
      <c r="E113" s="23" t="n">
        <v>61350000000</v>
      </c>
      <c r="F113" s="23" t="n">
        <v>22149000000</v>
      </c>
      <c r="G113" s="23" t="n">
        <v>24781000000</v>
      </c>
      <c r="H113" s="23" t="n">
        <v>14066000000</v>
      </c>
      <c r="I113" s="4" t="n">
        <v>5.79</v>
      </c>
      <c r="J113" s="23" t="n">
        <v>2429400000</v>
      </c>
      <c r="K113" s="23" t="n">
        <v>755000000</v>
      </c>
      <c r="L113" s="23" t="n">
        <v>24266000000</v>
      </c>
      <c r="M113" s="23" t="n">
        <v>-4424000000</v>
      </c>
      <c r="N113" s="23" t="n">
        <v>19842000000</v>
      </c>
      <c r="O113" s="23" t="n">
        <v>1176000000</v>
      </c>
      <c r="P113" s="23" t="n">
        <v>36634000000</v>
      </c>
      <c r="Q113" s="23" t="n">
        <v>24522000000</v>
      </c>
      <c r="R113" s="23" t="n">
        <v>71490000000</v>
      </c>
      <c r="S113" s="4" t="n">
        <v>24.5445205479452</v>
      </c>
    </row>
    <row r="114" customFormat="false" ht="15" hidden="false" customHeight="false" outlineLevel="0" collapsed="false">
      <c r="A114" s="4" t="s">
        <v>192</v>
      </c>
      <c r="B114" s="4" t="n">
        <v>2023</v>
      </c>
      <c r="C114" s="4" t="s">
        <v>573</v>
      </c>
      <c r="D114" s="23" t="n">
        <v>85159000000</v>
      </c>
      <c r="E114" s="23" t="n">
        <v>58606000000</v>
      </c>
      <c r="F114" s="23" t="n">
        <v>23409000000</v>
      </c>
      <c r="G114" s="23" t="n">
        <v>23320000000</v>
      </c>
      <c r="H114" s="23" t="n">
        <v>35153000000</v>
      </c>
      <c r="I114" s="4" t="n">
        <v>13.72</v>
      </c>
      <c r="J114" s="23" t="n">
        <v>2560400000</v>
      </c>
      <c r="K114" s="23" t="n">
        <v>772000000</v>
      </c>
      <c r="L114" s="23" t="n">
        <v>22791000000</v>
      </c>
      <c r="M114" s="23" t="n">
        <v>-4543000000</v>
      </c>
      <c r="N114" s="23" t="n">
        <v>18248000000</v>
      </c>
      <c r="O114" s="23" t="n">
        <v>1162000000</v>
      </c>
      <c r="P114" s="23" t="n">
        <v>29332000000</v>
      </c>
      <c r="Q114" s="23" t="n">
        <v>22927000000</v>
      </c>
      <c r="R114" s="23" t="n">
        <v>68774000000</v>
      </c>
      <c r="S114" s="4" t="n">
        <v>11.292507204611</v>
      </c>
    </row>
    <row r="115" customFormat="false" ht="15" hidden="false" customHeight="false" outlineLevel="0" collapsed="false">
      <c r="A115" s="4" t="s">
        <v>192</v>
      </c>
      <c r="B115" s="4" t="n">
        <v>2022</v>
      </c>
      <c r="C115" s="4" t="s">
        <v>597</v>
      </c>
      <c r="D115" s="23" t="n">
        <v>79990000000</v>
      </c>
      <c r="E115" s="23" t="n">
        <v>55394000000</v>
      </c>
      <c r="F115" s="23" t="n">
        <v>21013000000</v>
      </c>
      <c r="G115" s="23" t="n">
        <v>26605000000</v>
      </c>
      <c r="H115" s="23" t="n">
        <v>17941000000</v>
      </c>
      <c r="I115" s="4" t="n">
        <v>6.73</v>
      </c>
      <c r="J115" s="23" t="n">
        <v>2663900000</v>
      </c>
      <c r="K115" s="23" t="n">
        <v>276000000</v>
      </c>
      <c r="L115" s="23" t="n">
        <v>21194000000</v>
      </c>
      <c r="M115" s="23" t="n">
        <v>-4009000000</v>
      </c>
      <c r="N115" s="23" t="n">
        <v>17185000000</v>
      </c>
      <c r="O115" s="23" t="n">
        <v>1138000000</v>
      </c>
      <c r="P115" s="23" t="n">
        <v>39642000000</v>
      </c>
      <c r="Q115" s="23" t="n">
        <v>22281000000</v>
      </c>
      <c r="R115" s="23" t="n">
        <v>76804000000</v>
      </c>
      <c r="S115" s="4" t="n">
        <v>25.8638360175696</v>
      </c>
    </row>
    <row r="116" customFormat="false" ht="15" hidden="false" customHeight="false" outlineLevel="0" collapsed="false">
      <c r="A116" s="4" t="s">
        <v>192</v>
      </c>
      <c r="B116" s="4" t="n">
        <v>2021</v>
      </c>
      <c r="C116" s="4" t="s">
        <v>598</v>
      </c>
      <c r="D116" s="23" t="n">
        <v>78740000000</v>
      </c>
      <c r="E116" s="23" t="n">
        <v>55338000000</v>
      </c>
      <c r="F116" s="23" t="n">
        <v>20943000000</v>
      </c>
      <c r="G116" s="23" t="n">
        <v>26751000000</v>
      </c>
      <c r="H116" s="23" t="n">
        <v>20878000000</v>
      </c>
      <c r="I116" s="4" t="n">
        <v>7.81</v>
      </c>
      <c r="J116" s="23" t="n">
        <v>2674000000</v>
      </c>
      <c r="K116" s="23" t="n">
        <v>183000000</v>
      </c>
      <c r="L116" s="23" t="n">
        <v>23410000000</v>
      </c>
      <c r="M116" s="23" t="n">
        <v>-3652000000</v>
      </c>
      <c r="N116" s="23" t="n">
        <v>19758000000</v>
      </c>
      <c r="O116" s="23" t="n">
        <v>1135000000</v>
      </c>
      <c r="P116" s="23" t="n">
        <v>33751000000</v>
      </c>
      <c r="Q116" s="23" t="n">
        <v>31608000000</v>
      </c>
      <c r="R116" s="23" t="n">
        <v>74023000000</v>
      </c>
      <c r="S116" s="4" t="n">
        <v>21.6317780580076</v>
      </c>
    </row>
    <row r="117" customFormat="false" ht="15" hidden="false" customHeight="false" outlineLevel="0" collapsed="false">
      <c r="A117" s="4" t="s">
        <v>197</v>
      </c>
      <c r="B117" s="4" t="n">
        <v>2025</v>
      </c>
      <c r="C117" s="4" t="s">
        <v>103</v>
      </c>
      <c r="D117" s="23" t="n">
        <v>279745000000</v>
      </c>
      <c r="E117" s="23" t="n">
        <v>167607000000</v>
      </c>
      <c r="F117" s="23" t="n">
        <v>72595000000</v>
      </c>
      <c r="G117" s="23" t="n">
        <v>81416000000</v>
      </c>
      <c r="H117" s="23" t="n">
        <v>57048000000</v>
      </c>
      <c r="I117" s="4" t="n">
        <v>20.05</v>
      </c>
      <c r="J117" s="23" t="n">
        <v>2793700000</v>
      </c>
      <c r="K117" s="23" t="n">
        <v>97898000000</v>
      </c>
      <c r="L117" s="23" t="n">
        <v>-147782000000</v>
      </c>
      <c r="M117" s="23" t="n">
        <v>0</v>
      </c>
      <c r="N117" s="23" t="n">
        <v>-147782000000</v>
      </c>
      <c r="O117" s="23" t="n">
        <v>0</v>
      </c>
      <c r="P117" s="23" t="n">
        <v>942378000000</v>
      </c>
      <c r="Q117" s="23" t="n">
        <v>1479747000000</v>
      </c>
      <c r="R117" s="23" t="n">
        <v>362438000000</v>
      </c>
      <c r="S117" s="4" t="n">
        <v>16.0388252862121</v>
      </c>
    </row>
    <row r="118" customFormat="false" ht="15" hidden="false" customHeight="false" outlineLevel="0" collapsed="false">
      <c r="A118" s="4" t="s">
        <v>197</v>
      </c>
      <c r="B118" s="4" t="n">
        <v>2024</v>
      </c>
      <c r="C118" s="4" t="s">
        <v>572</v>
      </c>
      <c r="D118" s="23" t="n">
        <v>270789000000</v>
      </c>
      <c r="E118" s="23" t="n">
        <v>158785000000</v>
      </c>
      <c r="F118" s="23" t="n">
        <v>75081000000</v>
      </c>
      <c r="G118" s="23" t="n">
        <v>83019000000</v>
      </c>
      <c r="H118" s="23" t="n">
        <v>58471000000</v>
      </c>
      <c r="I118" s="4" t="n">
        <v>19.75</v>
      </c>
      <c r="J118" s="23" t="n">
        <v>2879000000</v>
      </c>
      <c r="K118" s="23" t="n">
        <v>101350000000</v>
      </c>
      <c r="L118" s="23" t="n">
        <v>-42012000000</v>
      </c>
      <c r="M118" s="23" t="n">
        <v>0</v>
      </c>
      <c r="N118" s="23" t="n">
        <v>-42012000000</v>
      </c>
      <c r="O118" s="23" t="n">
        <v>0</v>
      </c>
      <c r="P118" s="23" t="n">
        <v>751146000000</v>
      </c>
      <c r="Q118" s="23" t="n">
        <v>1367721000000</v>
      </c>
      <c r="R118" s="23" t="n">
        <v>344758000000</v>
      </c>
      <c r="S118" s="4" t="n">
        <v>12.1126831733199</v>
      </c>
    </row>
    <row r="119" customFormat="false" ht="15" hidden="false" customHeight="false" outlineLevel="0" collapsed="false">
      <c r="A119" s="4" t="s">
        <v>197</v>
      </c>
      <c r="B119" s="4" t="n">
        <v>2023</v>
      </c>
      <c r="C119" s="4" t="s">
        <v>573</v>
      </c>
      <c r="D119" s="23" t="n">
        <v>236273000000</v>
      </c>
      <c r="E119" s="23" t="n">
        <v>145670000000</v>
      </c>
      <c r="F119" s="23" t="n">
        <v>61612000000</v>
      </c>
      <c r="G119" s="23" t="n">
        <v>69124000000</v>
      </c>
      <c r="H119" s="23" t="n">
        <v>49552000000</v>
      </c>
      <c r="I119" s="4" t="n">
        <v>16.23</v>
      </c>
      <c r="J119" s="23" t="n">
        <v>2943100000</v>
      </c>
      <c r="K119" s="23" t="n">
        <v>81321000000</v>
      </c>
      <c r="L119" s="23" t="n">
        <v>12974000000</v>
      </c>
      <c r="M119" s="23" t="n">
        <v>0</v>
      </c>
      <c r="N119" s="23" t="n">
        <v>12974000000</v>
      </c>
      <c r="O119" s="23" t="n">
        <v>0</v>
      </c>
      <c r="P119" s="23" t="n">
        <v>653072000000</v>
      </c>
      <c r="Q119" s="23" t="n">
        <v>1228249000000</v>
      </c>
      <c r="R119" s="23" t="n">
        <v>327878000000</v>
      </c>
      <c r="S119" s="4" t="n">
        <v>10.4676923076923</v>
      </c>
    </row>
    <row r="120" customFormat="false" ht="15" hidden="false" customHeight="false" outlineLevel="0" collapsed="false">
      <c r="A120" s="4" t="s">
        <v>197</v>
      </c>
      <c r="B120" s="4" t="n">
        <v>2022</v>
      </c>
      <c r="C120" s="4" t="s">
        <v>574</v>
      </c>
      <c r="D120" s="23" t="n">
        <v>153824000000</v>
      </c>
      <c r="E120" s="23" t="n">
        <v>121392000000</v>
      </c>
      <c r="F120" s="23" t="n">
        <v>46166000000</v>
      </c>
      <c r="G120" s="23" t="n">
        <v>53217000000</v>
      </c>
      <c r="H120" s="23" t="n">
        <v>37676000000</v>
      </c>
      <c r="I120" s="4" t="n">
        <v>12.09</v>
      </c>
      <c r="J120" s="23" t="n">
        <v>2970000000</v>
      </c>
      <c r="K120" s="23" t="n">
        <v>26097000000</v>
      </c>
      <c r="L120" s="23" t="n">
        <v>107119000000</v>
      </c>
      <c r="M120" s="23" t="n">
        <v>0</v>
      </c>
      <c r="N120" s="23" t="n">
        <v>107119000000</v>
      </c>
      <c r="O120" s="23" t="n">
        <v>0</v>
      </c>
      <c r="P120" s="23" t="n">
        <v>542505000000</v>
      </c>
      <c r="Q120" s="23" t="n">
        <v>1124045000000</v>
      </c>
      <c r="R120" s="23" t="n">
        <v>292332000000</v>
      </c>
      <c r="S120" s="4" t="n">
        <v>11.0826446280992</v>
      </c>
    </row>
    <row r="121" customFormat="false" ht="15" hidden="false" customHeight="false" outlineLevel="0" collapsed="false">
      <c r="A121" s="4" t="s">
        <v>197</v>
      </c>
      <c r="B121" s="4" t="n">
        <v>2021</v>
      </c>
      <c r="C121" s="4" t="s">
        <v>575</v>
      </c>
      <c r="D121" s="23" t="n">
        <v>127238000000</v>
      </c>
      <c r="E121" s="23" t="n">
        <v>130905000000</v>
      </c>
      <c r="F121" s="23" t="n">
        <v>59562000000</v>
      </c>
      <c r="G121" s="23" t="n">
        <v>67494000000</v>
      </c>
      <c r="H121" s="23" t="n">
        <v>48334000000</v>
      </c>
      <c r="I121" s="4" t="n">
        <v>15.36</v>
      </c>
      <c r="J121" s="23" t="n">
        <v>3026600000</v>
      </c>
      <c r="K121" s="23" t="n">
        <v>5553000000</v>
      </c>
      <c r="L121" s="23" t="n">
        <v>78084000000</v>
      </c>
      <c r="M121" s="23" t="n">
        <v>0</v>
      </c>
      <c r="N121" s="23" t="n">
        <v>78084000000</v>
      </c>
      <c r="O121" s="23" t="n">
        <v>0</v>
      </c>
      <c r="P121" s="23" t="n">
        <v>548939000000</v>
      </c>
      <c r="Q121" s="23" t="n">
        <v>1361956000000</v>
      </c>
      <c r="R121" s="23" t="n">
        <v>294127000000</v>
      </c>
      <c r="S121" s="4" t="n">
        <v>10.2891487979207</v>
      </c>
    </row>
    <row r="122" customFormat="false" ht="15" hidden="false" customHeight="false" outlineLevel="0" collapsed="false">
      <c r="A122" s="4" t="s">
        <v>200</v>
      </c>
      <c r="B122" s="4" t="n">
        <v>2026</v>
      </c>
      <c r="C122" s="4" t="s">
        <v>115</v>
      </c>
      <c r="D122" s="23" t="n">
        <v>13579476000</v>
      </c>
      <c r="E122" s="23" t="n">
        <v>8324416000</v>
      </c>
      <c r="F122" s="23" t="n">
        <v>5660780000</v>
      </c>
      <c r="G122" s="23" t="n">
        <v>6054758000</v>
      </c>
      <c r="H122" s="23" t="n">
        <v>4830771000</v>
      </c>
      <c r="I122" s="4" t="n">
        <v>3.66</v>
      </c>
      <c r="J122" s="23" t="n">
        <v>1319633000</v>
      </c>
      <c r="K122" s="23" t="n">
        <v>284440000</v>
      </c>
      <c r="L122" s="23" t="n">
        <v>4143079000</v>
      </c>
      <c r="M122" s="23" t="n">
        <v>-375945000</v>
      </c>
      <c r="N122" s="23" t="n">
        <v>3767134000</v>
      </c>
      <c r="O122" s="23" t="n">
        <v>310171000</v>
      </c>
      <c r="P122" s="23" t="n">
        <v>6151713000</v>
      </c>
      <c r="Q122" s="23" t="n">
        <v>4902408000</v>
      </c>
      <c r="R122" s="23" t="n">
        <v>6349820000</v>
      </c>
      <c r="S122" s="4" t="n">
        <v>81.9864130434783</v>
      </c>
    </row>
    <row r="123" customFormat="false" ht="15" hidden="false" customHeight="false" outlineLevel="0" collapsed="false">
      <c r="A123" s="4" t="s">
        <v>200</v>
      </c>
      <c r="B123" s="4" t="n">
        <v>2025</v>
      </c>
      <c r="C123" s="4" t="s">
        <v>580</v>
      </c>
      <c r="D123" s="23" t="n">
        <v>12156162000</v>
      </c>
      <c r="E123" s="23" t="n">
        <v>7404295000</v>
      </c>
      <c r="F123" s="23" t="n">
        <v>5014227000</v>
      </c>
      <c r="G123" s="23" t="n">
        <v>5340702000</v>
      </c>
      <c r="H123" s="23" t="n">
        <v>4061643000</v>
      </c>
      <c r="I123" s="4" t="n">
        <v>3.037</v>
      </c>
      <c r="J123" s="23" t="n">
        <v>1337500000</v>
      </c>
      <c r="K123" s="23" t="n">
        <v>302166000</v>
      </c>
      <c r="L123" s="23" t="n">
        <v>4081903000</v>
      </c>
      <c r="M123" s="23" t="n">
        <v>-340209000</v>
      </c>
      <c r="N123" s="23" t="n">
        <v>3741694000</v>
      </c>
      <c r="O123" s="23" t="n">
        <v>265011000</v>
      </c>
      <c r="P123" s="23" t="n">
        <v>6088282000</v>
      </c>
      <c r="Q123" s="23" t="n">
        <v>4494623000</v>
      </c>
      <c r="R123" s="23" t="n">
        <v>4692453000</v>
      </c>
      <c r="S123" s="4" t="n">
        <v>29.3383557156895</v>
      </c>
    </row>
    <row r="124" customFormat="false" ht="15" hidden="false" customHeight="false" outlineLevel="0" collapsed="false">
      <c r="A124" s="4" t="s">
        <v>200</v>
      </c>
      <c r="B124" s="4" t="n">
        <v>2024</v>
      </c>
      <c r="C124" s="4" t="s">
        <v>581</v>
      </c>
      <c r="D124" s="23" t="n">
        <v>9812247000</v>
      </c>
      <c r="E124" s="23" t="n">
        <v>5884174000</v>
      </c>
      <c r="F124" s="23" t="n">
        <v>3635684000</v>
      </c>
      <c r="G124" s="23" t="n">
        <v>3903015000</v>
      </c>
      <c r="H124" s="23" t="n">
        <v>2761896000</v>
      </c>
      <c r="I124" s="4" t="n">
        <v>2.028</v>
      </c>
      <c r="J124" s="23" t="n">
        <v>1361870000</v>
      </c>
      <c r="K124" s="23" t="n">
        <v>311253000</v>
      </c>
      <c r="L124" s="23" t="n">
        <v>3308575000</v>
      </c>
      <c r="M124" s="23" t="n">
        <v>-277384000</v>
      </c>
      <c r="N124" s="23" t="n">
        <v>3031191000</v>
      </c>
      <c r="O124" s="23" t="n">
        <v>212695000</v>
      </c>
      <c r="P124" s="23" t="n">
        <v>6819643000</v>
      </c>
      <c r="Q124" s="23" t="n">
        <v>4503995000</v>
      </c>
      <c r="R124" s="23" t="n">
        <v>3368328000</v>
      </c>
      <c r="S124" s="4" t="n">
        <v>40.5585497305243</v>
      </c>
    </row>
    <row r="125" customFormat="false" ht="15" hidden="false" customHeight="false" outlineLevel="0" collapsed="false">
      <c r="A125" s="4" t="s">
        <v>200</v>
      </c>
      <c r="B125" s="4" t="n">
        <v>2023</v>
      </c>
      <c r="C125" s="4" t="s">
        <v>582</v>
      </c>
      <c r="D125" s="23" t="n">
        <v>10496056000</v>
      </c>
      <c r="E125" s="23" t="n">
        <v>6277749000</v>
      </c>
      <c r="F125" s="23" t="n">
        <v>3994696000</v>
      </c>
      <c r="G125" s="23" t="n">
        <v>4501243000</v>
      </c>
      <c r="H125" s="23" t="n">
        <v>3387277000</v>
      </c>
      <c r="I125" s="4" t="n">
        <v>2.415</v>
      </c>
      <c r="J125" s="23" t="n">
        <v>1402350000</v>
      </c>
      <c r="K125" s="23" t="n">
        <v>296940000</v>
      </c>
      <c r="L125" s="23" t="n">
        <v>3669805000</v>
      </c>
      <c r="M125" s="23" t="n">
        <v>-341591000</v>
      </c>
      <c r="N125" s="23" t="n">
        <v>3328214000</v>
      </c>
      <c r="O125" s="23" t="n">
        <v>171424000</v>
      </c>
      <c r="P125" s="23" t="n">
        <v>6063132000</v>
      </c>
      <c r="Q125" s="23" t="n">
        <v>3243159000</v>
      </c>
      <c r="R125" s="23" t="n">
        <v>2919753000</v>
      </c>
      <c r="S125" s="4" t="n">
        <v>19.9752883031302</v>
      </c>
    </row>
    <row r="126" customFormat="false" ht="15" hidden="false" customHeight="false" outlineLevel="0" collapsed="false">
      <c r="A126" s="4" t="s">
        <v>200</v>
      </c>
      <c r="B126" s="4" t="n">
        <v>2022</v>
      </c>
      <c r="C126" s="4" t="s">
        <v>583</v>
      </c>
      <c r="D126" s="23" t="n">
        <v>9211883000</v>
      </c>
      <c r="E126" s="23" t="n">
        <v>5619442000</v>
      </c>
      <c r="F126" s="23" t="n">
        <v>3654181000</v>
      </c>
      <c r="G126" s="23" t="n">
        <v>4012920000</v>
      </c>
      <c r="H126" s="23" t="n">
        <v>3321807000</v>
      </c>
      <c r="I126" s="4" t="n">
        <v>2.192</v>
      </c>
      <c r="J126" s="23" t="n">
        <v>1515550000</v>
      </c>
      <c r="K126" s="23" t="n">
        <v>160339000</v>
      </c>
      <c r="L126" s="23" t="n">
        <v>3312702000</v>
      </c>
      <c r="M126" s="23" t="n">
        <v>-307320000</v>
      </c>
      <c r="N126" s="23" t="n">
        <v>3005382000</v>
      </c>
      <c r="O126" s="23" t="n">
        <v>126918000</v>
      </c>
      <c r="P126" s="23" t="n">
        <v>6774305000</v>
      </c>
      <c r="Q126" s="23" t="n">
        <v>2708008000</v>
      </c>
      <c r="R126" s="23" t="n">
        <v>1399090000</v>
      </c>
      <c r="S126" s="4" t="n">
        <v>14.4585410058904</v>
      </c>
    </row>
    <row r="127" customFormat="false" ht="15" hidden="false" customHeight="false" outlineLevel="0" collapsed="false">
      <c r="A127" s="4" t="s">
        <v>204</v>
      </c>
      <c r="B127" s="4" t="n">
        <v>2025</v>
      </c>
      <c r="C127" s="4" t="s">
        <v>103</v>
      </c>
      <c r="D127" s="23" t="n">
        <v>47941000000</v>
      </c>
      <c r="E127" s="23" t="n">
        <v>29544000000</v>
      </c>
      <c r="F127" s="23" t="n">
        <v>13762000000</v>
      </c>
      <c r="G127" s="23" t="n">
        <v>18702000000</v>
      </c>
      <c r="H127" s="23" t="n">
        <v>13107000000</v>
      </c>
      <c r="I127" s="4" t="n">
        <v>3.04</v>
      </c>
      <c r="J127" s="23" t="n">
        <v>4313000000</v>
      </c>
      <c r="K127" s="23" t="n">
        <v>1654000000</v>
      </c>
      <c r="L127" s="23" t="n">
        <v>7408000000</v>
      </c>
      <c r="M127" s="23" t="n">
        <v>-2112000000</v>
      </c>
      <c r="N127" s="23" t="n">
        <v>5296000000</v>
      </c>
      <c r="O127" s="23" t="n">
        <v>279000000</v>
      </c>
      <c r="P127" s="23" t="n">
        <v>47214000000</v>
      </c>
      <c r="Q127" s="23" t="n">
        <v>13872000000</v>
      </c>
      <c r="R127" s="23" t="n">
        <v>34275000000</v>
      </c>
      <c r="S127" s="4" t="n">
        <v>22.9213114754098</v>
      </c>
    </row>
    <row r="128" customFormat="false" ht="15" hidden="false" customHeight="false" outlineLevel="0" collapsed="false">
      <c r="A128" s="4" t="s">
        <v>204</v>
      </c>
      <c r="B128" s="4" t="n">
        <v>2024</v>
      </c>
      <c r="C128" s="4" t="s">
        <v>572</v>
      </c>
      <c r="D128" s="23" t="n">
        <v>47061000000</v>
      </c>
      <c r="E128" s="23" t="n">
        <v>28737000000</v>
      </c>
      <c r="F128" s="23" t="n">
        <v>9992000000</v>
      </c>
      <c r="G128" s="23" t="n">
        <v>15817000000</v>
      </c>
      <c r="H128" s="23" t="n">
        <v>10631000000</v>
      </c>
      <c r="I128" s="4" t="n">
        <v>2.46</v>
      </c>
      <c r="J128" s="23" t="n">
        <v>4320000000</v>
      </c>
      <c r="K128" s="23" t="n">
        <v>1656000000</v>
      </c>
      <c r="L128" s="23" t="n">
        <v>6805000000</v>
      </c>
      <c r="M128" s="23" t="n">
        <v>-2064000000</v>
      </c>
      <c r="N128" s="23" t="n">
        <v>4741000000</v>
      </c>
      <c r="O128" s="23" t="n">
        <v>286000000</v>
      </c>
      <c r="P128" s="23" t="n">
        <v>45735000000</v>
      </c>
      <c r="Q128" s="23" t="n">
        <v>14571000000</v>
      </c>
      <c r="R128" s="23" t="n">
        <v>26372000000</v>
      </c>
      <c r="S128" s="4" t="n">
        <v>25.2064777327935</v>
      </c>
    </row>
    <row r="129" customFormat="false" ht="15" hidden="false" customHeight="false" outlineLevel="0" collapsed="false">
      <c r="A129" s="4" t="s">
        <v>204</v>
      </c>
      <c r="B129" s="4" t="n">
        <v>2023</v>
      </c>
      <c r="C129" s="4" t="s">
        <v>573</v>
      </c>
      <c r="D129" s="23" t="n">
        <v>45754000000</v>
      </c>
      <c r="E129" s="23" t="n">
        <v>27234000000</v>
      </c>
      <c r="F129" s="23" t="n">
        <v>11311000000</v>
      </c>
      <c r="G129" s="23" t="n">
        <v>15607000000</v>
      </c>
      <c r="H129" s="23" t="n">
        <v>10714000000</v>
      </c>
      <c r="I129" s="4" t="n">
        <v>2.47</v>
      </c>
      <c r="J129" s="23" t="n">
        <v>4339000000</v>
      </c>
      <c r="K129" s="23" t="n">
        <v>1527000000</v>
      </c>
      <c r="L129" s="23" t="n">
        <v>11599000000</v>
      </c>
      <c r="M129" s="23" t="n">
        <v>-1852000000</v>
      </c>
      <c r="N129" s="23" t="n">
        <v>9747000000</v>
      </c>
      <c r="O129" s="23" t="n">
        <v>254000000</v>
      </c>
      <c r="P129" s="23" t="n">
        <v>43426000000</v>
      </c>
      <c r="Q129" s="23" t="n">
        <v>13663000000</v>
      </c>
      <c r="R129" s="23" t="n">
        <v>27480000000</v>
      </c>
      <c r="S129" s="4" t="n">
        <v>23.7620967741936</v>
      </c>
    </row>
    <row r="130" customFormat="false" ht="15" hidden="false" customHeight="false" outlineLevel="0" collapsed="false">
      <c r="A130" s="4" t="s">
        <v>204</v>
      </c>
      <c r="B130" s="4" t="n">
        <v>2022</v>
      </c>
      <c r="C130" s="4" t="s">
        <v>574</v>
      </c>
      <c r="D130" s="23" t="n">
        <v>43004000000</v>
      </c>
      <c r="E130" s="23" t="n">
        <v>25004000000</v>
      </c>
      <c r="F130" s="23" t="n">
        <v>10909000000</v>
      </c>
      <c r="G130" s="23" t="n">
        <v>13828000000</v>
      </c>
      <c r="H130" s="23" t="n">
        <v>9542000000</v>
      </c>
      <c r="I130" s="4" t="n">
        <v>2.19</v>
      </c>
      <c r="J130" s="23" t="n">
        <v>4350000000</v>
      </c>
      <c r="K130" s="23" t="n">
        <v>882000000</v>
      </c>
      <c r="L130" s="23" t="n">
        <v>11018000000</v>
      </c>
      <c r="M130" s="23" t="n">
        <v>-1484000000</v>
      </c>
      <c r="N130" s="23" t="n">
        <v>9534000000</v>
      </c>
      <c r="O130" s="23" t="n">
        <v>356000000</v>
      </c>
      <c r="P130" s="23" t="n">
        <v>40603000000</v>
      </c>
      <c r="Q130" s="23" t="n">
        <v>11631000000</v>
      </c>
      <c r="R130" s="23" t="n">
        <v>25826000000</v>
      </c>
      <c r="S130" s="4" t="n">
        <v>28.9136363636364</v>
      </c>
    </row>
    <row r="131" customFormat="false" ht="15" hidden="false" customHeight="false" outlineLevel="0" collapsed="false">
      <c r="A131" s="4" t="s">
        <v>204</v>
      </c>
      <c r="B131" s="4" t="n">
        <v>2021</v>
      </c>
      <c r="C131" s="4" t="s">
        <v>575</v>
      </c>
      <c r="D131" s="23" t="n">
        <v>38655000000</v>
      </c>
      <c r="E131" s="23" t="n">
        <v>23298000000</v>
      </c>
      <c r="F131" s="23" t="n">
        <v>10308000000</v>
      </c>
      <c r="G131" s="23" t="n">
        <v>15474000000</v>
      </c>
      <c r="H131" s="23" t="n">
        <v>9771000000</v>
      </c>
      <c r="I131" s="4" t="n">
        <v>2.25</v>
      </c>
      <c r="J131" s="23" t="n">
        <v>4340000000</v>
      </c>
      <c r="K131" s="23" t="n">
        <v>1597000000</v>
      </c>
      <c r="L131" s="23" t="n">
        <v>12625000000</v>
      </c>
      <c r="M131" s="23" t="n">
        <v>-1367000000</v>
      </c>
      <c r="N131" s="23" t="n">
        <v>11258000000</v>
      </c>
      <c r="O131" s="23" t="n">
        <v>337000000</v>
      </c>
      <c r="P131" s="23" t="n">
        <v>44542000000</v>
      </c>
      <c r="Q131" s="23" t="n">
        <v>12625000000</v>
      </c>
      <c r="R131" s="23" t="n">
        <v>24860000000</v>
      </c>
      <c r="S131" s="4" t="n">
        <v>26.1991150442478</v>
      </c>
    </row>
    <row r="132" customFormat="false" ht="15" hidden="false" customHeight="false" outlineLevel="0" collapsed="false">
      <c r="A132" s="4" t="s">
        <v>208</v>
      </c>
      <c r="B132" s="4" t="n">
        <v>2025</v>
      </c>
      <c r="C132" s="4" t="s">
        <v>103</v>
      </c>
      <c r="D132" s="23" t="n">
        <v>65179000000</v>
      </c>
      <c r="E132" s="23" t="n">
        <v>54127000000</v>
      </c>
      <c r="F132" s="23" t="n">
        <v>29696000000</v>
      </c>
      <c r="G132" s="23" t="n">
        <v>31693000000</v>
      </c>
      <c r="H132" s="23" t="n">
        <v>20640000000</v>
      </c>
      <c r="I132" s="4" t="n">
        <v>22.95</v>
      </c>
      <c r="J132" s="23" t="n">
        <v>898002000</v>
      </c>
      <c r="K132" s="23" t="n">
        <v>795300000</v>
      </c>
      <c r="L132" s="23" t="n">
        <v>16813000000</v>
      </c>
      <c r="M132" s="23" t="n">
        <v>-7841000000</v>
      </c>
      <c r="N132" s="23" t="n">
        <v>8972000000</v>
      </c>
      <c r="O132" s="23" t="n">
        <v>626000000</v>
      </c>
      <c r="P132" s="23" t="n">
        <v>42503000000</v>
      </c>
      <c r="Q132" s="23" t="n">
        <v>7268000000</v>
      </c>
      <c r="R132" s="23" t="n">
        <v>26535000000</v>
      </c>
      <c r="S132" s="4" t="n">
        <v>46.5834416991764</v>
      </c>
    </row>
    <row r="133" customFormat="false" ht="15" hidden="false" customHeight="false" outlineLevel="0" collapsed="false">
      <c r="A133" s="4" t="s">
        <v>208</v>
      </c>
      <c r="B133" s="4" t="n">
        <v>2024</v>
      </c>
      <c r="C133" s="4" t="s">
        <v>572</v>
      </c>
      <c r="D133" s="23" t="n">
        <v>45043000000</v>
      </c>
      <c r="E133" s="23" t="n">
        <v>36625000000</v>
      </c>
      <c r="F133" s="23" t="n">
        <v>17040000000</v>
      </c>
      <c r="G133" s="23" t="n">
        <v>18807000000</v>
      </c>
      <c r="H133" s="23" t="n">
        <v>10590000000</v>
      </c>
      <c r="I133" s="4" t="n">
        <v>11.71</v>
      </c>
      <c r="J133" s="23" t="n">
        <v>904059000</v>
      </c>
      <c r="K133" s="23" t="n">
        <v>780600000</v>
      </c>
      <c r="L133" s="23" t="n">
        <v>8817900000</v>
      </c>
      <c r="M133" s="23" t="n">
        <v>-5058000000</v>
      </c>
      <c r="N133" s="23" t="n">
        <v>3760100000</v>
      </c>
      <c r="O133" s="23" t="n">
        <v>645600000</v>
      </c>
      <c r="P133" s="23" t="n">
        <v>33644200000</v>
      </c>
      <c r="Q133" s="23" t="n">
        <v>3423200000</v>
      </c>
      <c r="R133" s="23" t="n">
        <v>14271600000</v>
      </c>
      <c r="S133" s="4" t="n">
        <v>65.6462585034014</v>
      </c>
    </row>
    <row r="134" customFormat="false" ht="15" hidden="false" customHeight="false" outlineLevel="0" collapsed="false">
      <c r="A134" s="4" t="s">
        <v>208</v>
      </c>
      <c r="B134" s="4" t="n">
        <v>2023</v>
      </c>
      <c r="C134" s="4" t="s">
        <v>573</v>
      </c>
      <c r="D134" s="23" t="n">
        <v>34124100000</v>
      </c>
      <c r="E134" s="23" t="n">
        <v>27041900000</v>
      </c>
      <c r="F134" s="23" t="n">
        <v>10787300000</v>
      </c>
      <c r="G134" s="23" t="n">
        <v>8567800000</v>
      </c>
      <c r="H134" s="23" t="n">
        <v>5240400000</v>
      </c>
      <c r="I134" s="4" t="n">
        <v>5.8</v>
      </c>
      <c r="J134" s="23" t="n">
        <v>903284000</v>
      </c>
      <c r="K134" s="23" t="n">
        <v>485900000</v>
      </c>
      <c r="L134" s="23" t="n">
        <v>4240100000</v>
      </c>
      <c r="M134" s="23" t="n">
        <v>-7392100000</v>
      </c>
      <c r="N134" s="23" t="n">
        <v>-3152000000</v>
      </c>
      <c r="O134" s="23" t="n">
        <v>628500000</v>
      </c>
      <c r="P134" s="23" t="n">
        <v>25225300000</v>
      </c>
      <c r="Q134" s="23" t="n">
        <v>2927700000</v>
      </c>
      <c r="R134" s="23" t="n">
        <v>10863700000</v>
      </c>
      <c r="S134" s="4" t="n">
        <v>99.9862778730703</v>
      </c>
    </row>
    <row r="135" customFormat="false" ht="15" hidden="false" customHeight="false" outlineLevel="0" collapsed="false">
      <c r="A135" s="4" t="s">
        <v>208</v>
      </c>
      <c r="B135" s="4" t="n">
        <v>2022</v>
      </c>
      <c r="C135" s="4" t="s">
        <v>574</v>
      </c>
      <c r="D135" s="23" t="n">
        <v>28541400000</v>
      </c>
      <c r="E135" s="23" t="n">
        <v>21911600000</v>
      </c>
      <c r="F135" s="23" t="n">
        <v>8653300000</v>
      </c>
      <c r="G135" s="23" t="n">
        <v>8660500000</v>
      </c>
      <c r="H135" s="23" t="n">
        <v>6244800000</v>
      </c>
      <c r="I135" s="4" t="n">
        <v>6.57</v>
      </c>
      <c r="J135" s="23" t="n">
        <v>950182000</v>
      </c>
      <c r="K135" s="23" t="n">
        <v>331600000</v>
      </c>
      <c r="L135" s="23" t="n">
        <v>7585700000</v>
      </c>
      <c r="M135" s="23" t="n">
        <v>-2985300000</v>
      </c>
      <c r="N135" s="23" t="n">
        <v>4600400000</v>
      </c>
      <c r="O135" s="23" t="n">
        <v>371100000</v>
      </c>
      <c r="P135" s="23" t="n">
        <v>16238600000</v>
      </c>
      <c r="Q135" s="23" t="n">
        <v>2211800000</v>
      </c>
      <c r="R135" s="23" t="n">
        <v>10775400000</v>
      </c>
      <c r="S135" s="4" t="n">
        <v>55.6834094368341</v>
      </c>
    </row>
    <row r="136" customFormat="false" ht="15" hidden="false" customHeight="false" outlineLevel="0" collapsed="false">
      <c r="A136" s="4" t="s">
        <v>208</v>
      </c>
      <c r="B136" s="4" t="n">
        <v>2021</v>
      </c>
      <c r="C136" s="4" t="s">
        <v>575</v>
      </c>
      <c r="D136" s="23" t="n">
        <v>28318400000</v>
      </c>
      <c r="E136" s="23" t="n">
        <v>21005600000</v>
      </c>
      <c r="F136" s="23" t="n">
        <v>7933000000</v>
      </c>
      <c r="G136" s="23" t="n">
        <v>8042900000</v>
      </c>
      <c r="H136" s="23" t="n">
        <v>5581700000</v>
      </c>
      <c r="I136" s="4" t="n">
        <v>5.85</v>
      </c>
      <c r="J136" s="23" t="n">
        <v>953653000</v>
      </c>
      <c r="K136" s="23" t="n">
        <v>339800000</v>
      </c>
      <c r="L136" s="23" t="n">
        <v>7365900000</v>
      </c>
      <c r="M136" s="23" t="n">
        <v>-1978400000</v>
      </c>
      <c r="N136" s="23" t="n">
        <v>5387500000</v>
      </c>
      <c r="O136" s="23" t="n">
        <v>342800000</v>
      </c>
      <c r="P136" s="23" t="n">
        <v>16884700000</v>
      </c>
      <c r="Q136" s="23" t="n">
        <v>3908600000</v>
      </c>
      <c r="R136" s="23" t="n">
        <v>9154800000</v>
      </c>
      <c r="S136" s="4" t="n">
        <v>47.217094017094</v>
      </c>
    </row>
    <row r="137" customFormat="false" ht="15" hidden="false" customHeight="false" outlineLevel="0" collapsed="false">
      <c r="A137" s="4" t="s">
        <v>211</v>
      </c>
      <c r="B137" s="4" t="n">
        <v>2025</v>
      </c>
      <c r="C137" s="4" t="s">
        <v>103</v>
      </c>
      <c r="D137" s="23" t="n">
        <v>75057000000</v>
      </c>
      <c r="E137" s="23" t="n">
        <v>7619000000</v>
      </c>
      <c r="F137" s="23" t="n">
        <v>7731000000</v>
      </c>
      <c r="G137" s="23" t="n">
        <v>8727000000</v>
      </c>
      <c r="H137" s="23" t="n">
        <v>5017000000</v>
      </c>
      <c r="I137" s="4" t="n">
        <v>21.49</v>
      </c>
      <c r="J137" s="23" t="n">
        <v>231900000</v>
      </c>
      <c r="K137" s="23" t="n">
        <v>1118000000</v>
      </c>
      <c r="L137" s="23" t="n">
        <v>8557000000</v>
      </c>
      <c r="M137" s="23" t="n">
        <v>-1649000000</v>
      </c>
      <c r="N137" s="23" t="n">
        <v>6908000000</v>
      </c>
      <c r="O137" s="23" t="n">
        <v>304000000</v>
      </c>
      <c r="P137" s="23" t="n">
        <v>21700000000</v>
      </c>
      <c r="Q137" s="23" t="n">
        <v>4121000000</v>
      </c>
      <c r="R137" s="23" t="n">
        <v>6721000000</v>
      </c>
      <c r="S137" s="4" t="n">
        <v>22.4336734693878</v>
      </c>
    </row>
    <row r="138" customFormat="false" ht="15" hidden="false" customHeight="false" outlineLevel="0" collapsed="false">
      <c r="A138" s="4" t="s">
        <v>211</v>
      </c>
      <c r="B138" s="4" t="n">
        <v>2024</v>
      </c>
      <c r="C138" s="4" t="s">
        <v>572</v>
      </c>
      <c r="D138" s="23" t="n">
        <v>71043000000</v>
      </c>
      <c r="E138" s="23" t="n">
        <v>6930000000</v>
      </c>
      <c r="F138" s="23" t="n">
        <v>7013000000</v>
      </c>
      <c r="G138" s="23" t="n">
        <v>8815000000</v>
      </c>
      <c r="H138" s="23" t="n">
        <v>5336000000</v>
      </c>
      <c r="I138" s="4" t="n">
        <v>22.31</v>
      </c>
      <c r="J138" s="23" t="n">
        <v>239200000</v>
      </c>
      <c r="K138" s="23" t="n">
        <v>1036000000</v>
      </c>
      <c r="L138" s="23" t="n">
        <v>6972000000</v>
      </c>
      <c r="M138" s="23" t="n">
        <v>-1685000000</v>
      </c>
      <c r="N138" s="23" t="n">
        <v>5287000000</v>
      </c>
      <c r="O138" s="23" t="n">
        <v>277000000</v>
      </c>
      <c r="P138" s="23" t="n">
        <v>20270000000</v>
      </c>
      <c r="Q138" s="23" t="n">
        <v>2483000000</v>
      </c>
      <c r="R138" s="23" t="n">
        <v>6333000000</v>
      </c>
      <c r="S138" s="4" t="n">
        <v>21.7034390352836</v>
      </c>
    </row>
    <row r="139" customFormat="false" ht="15" hidden="false" customHeight="false" outlineLevel="0" collapsed="false">
      <c r="A139" s="4" t="s">
        <v>211</v>
      </c>
      <c r="B139" s="4" t="n">
        <v>2023</v>
      </c>
      <c r="C139" s="4" t="s">
        <v>573</v>
      </c>
      <c r="D139" s="23" t="n">
        <v>67571000000</v>
      </c>
      <c r="E139" s="23" t="n">
        <v>8479000000</v>
      </c>
      <c r="F139" s="23" t="n">
        <v>8507000000</v>
      </c>
      <c r="G139" s="23" t="n">
        <v>10444000000</v>
      </c>
      <c r="H139" s="23" t="n">
        <v>6920000000</v>
      </c>
      <c r="I139" s="4" t="n">
        <v>27.55</v>
      </c>
      <c r="J139" s="23" t="n">
        <v>251200000</v>
      </c>
      <c r="K139" s="23" t="n">
        <v>916000000</v>
      </c>
      <c r="L139" s="23" t="n">
        <v>7920000000</v>
      </c>
      <c r="M139" s="23" t="n">
        <v>-1691000000</v>
      </c>
      <c r="N139" s="23" t="n">
        <v>6229000000</v>
      </c>
      <c r="O139" s="23" t="n">
        <v>265000000</v>
      </c>
      <c r="P139" s="23" t="n">
        <v>17459000000</v>
      </c>
      <c r="Q139" s="23" t="n">
        <v>1442000000</v>
      </c>
      <c r="R139" s="23" t="n">
        <v>6835000000</v>
      </c>
      <c r="S139" s="4" t="n">
        <v>16.3920433996383</v>
      </c>
    </row>
    <row r="140" customFormat="false" ht="15" hidden="false" customHeight="false" outlineLevel="0" collapsed="false">
      <c r="A140" s="4" t="s">
        <v>211</v>
      </c>
      <c r="B140" s="4" t="n">
        <v>2022</v>
      </c>
      <c r="C140" s="4" t="s">
        <v>574</v>
      </c>
      <c r="D140" s="23" t="n">
        <v>65984000000</v>
      </c>
      <c r="E140" s="23" t="n">
        <v>8287000000</v>
      </c>
      <c r="F140" s="23" t="n">
        <v>8348000000</v>
      </c>
      <c r="G140" s="23" t="n">
        <v>8707000000</v>
      </c>
      <c r="H140" s="23" t="n">
        <v>5732000000</v>
      </c>
      <c r="I140" s="4" t="n">
        <v>21.66</v>
      </c>
      <c r="J140" s="23" t="n">
        <v>264600000</v>
      </c>
      <c r="K140" s="23" t="n">
        <v>623000000</v>
      </c>
      <c r="L140" s="23" t="n">
        <v>7802000000</v>
      </c>
      <c r="M140" s="23" t="n">
        <v>-1670000000</v>
      </c>
      <c r="N140" s="23" t="n">
        <v>6132000000</v>
      </c>
      <c r="O140" s="23" t="n">
        <v>238000000</v>
      </c>
      <c r="P140" s="23" t="n">
        <v>15547000000</v>
      </c>
      <c r="Q140" s="23" t="n">
        <v>2547000000</v>
      </c>
      <c r="R140" s="23" t="n">
        <v>9266000000</v>
      </c>
      <c r="S140" s="4" t="n">
        <v>22.3776448942042</v>
      </c>
    </row>
    <row r="141" customFormat="false" ht="15" hidden="false" customHeight="false" outlineLevel="0" collapsed="false">
      <c r="A141" s="4" t="s">
        <v>211</v>
      </c>
      <c r="B141" s="4" t="n">
        <v>2021</v>
      </c>
      <c r="C141" s="4" t="s">
        <v>575</v>
      </c>
      <c r="D141" s="23" t="n">
        <v>67044000000</v>
      </c>
      <c r="E141" s="23" t="n">
        <v>9061000000</v>
      </c>
      <c r="F141" s="23" t="n">
        <v>9123000000</v>
      </c>
      <c r="G141" s="23" t="n">
        <v>9483000000</v>
      </c>
      <c r="H141" s="23" t="n">
        <v>6315000000</v>
      </c>
      <c r="I141" s="4" t="n">
        <v>22.77</v>
      </c>
      <c r="J141" s="23" t="n">
        <v>277400000</v>
      </c>
      <c r="K141" s="23" t="n">
        <v>569000000</v>
      </c>
      <c r="L141" s="23" t="n">
        <v>9221000000</v>
      </c>
      <c r="M141" s="23" t="n">
        <v>-1522000000</v>
      </c>
      <c r="N141" s="23" t="n">
        <v>7699000000</v>
      </c>
      <c r="O141" s="23" t="n">
        <v>227000000</v>
      </c>
      <c r="P141" s="23" t="n">
        <v>11676000000</v>
      </c>
      <c r="Q141" s="23" t="n">
        <v>3604000000</v>
      </c>
      <c r="R141" s="23" t="n">
        <v>10959000000</v>
      </c>
      <c r="S141" s="4" t="n">
        <v>15.5540481400438</v>
      </c>
    </row>
    <row r="142" customFormat="false" ht="15" hidden="false" customHeight="false" outlineLevel="0" collapsed="false">
      <c r="A142" s="4" t="s">
        <v>215</v>
      </c>
      <c r="B142" s="4" t="n">
        <v>2026</v>
      </c>
      <c r="C142" s="4" t="s">
        <v>217</v>
      </c>
      <c r="D142" s="23" t="n">
        <v>23232690000</v>
      </c>
      <c r="E142" s="23" t="n">
        <v>11725308000</v>
      </c>
      <c r="F142" s="23" t="n">
        <v>8199795000</v>
      </c>
      <c r="G142" s="23" t="n">
        <v>8704006000</v>
      </c>
      <c r="H142" s="23" t="n">
        <v>7265396000</v>
      </c>
      <c r="I142" s="4" t="n">
        <v>5.76</v>
      </c>
      <c r="J142" s="23" t="n">
        <v>1261102000</v>
      </c>
      <c r="K142" s="23" t="n">
        <v>0</v>
      </c>
      <c r="L142" s="23" t="n">
        <v>5857657000</v>
      </c>
      <c r="M142" s="23" t="n">
        <v>-966405000</v>
      </c>
      <c r="N142" s="23" t="n">
        <v>4891252000</v>
      </c>
      <c r="O142" s="23" t="n">
        <v>386381000</v>
      </c>
      <c r="P142" s="23" t="n">
        <v>4121565000</v>
      </c>
      <c r="Q142" s="23" t="n">
        <v>5579171000</v>
      </c>
      <c r="R142" s="23" t="n">
        <v>12470921000</v>
      </c>
      <c r="S142" s="4" t="n">
        <v>70.9689119170985</v>
      </c>
    </row>
    <row r="143" customFormat="false" ht="15" hidden="false" customHeight="false" outlineLevel="0" collapsed="false">
      <c r="A143" s="4" t="s">
        <v>215</v>
      </c>
      <c r="B143" s="4" t="n">
        <v>2025</v>
      </c>
      <c r="C143" s="4" t="s">
        <v>599</v>
      </c>
      <c r="D143" s="23" t="n">
        <v>18435591000</v>
      </c>
      <c r="E143" s="23" t="n">
        <v>8979059000</v>
      </c>
      <c r="F143" s="23" t="n">
        <v>5900968000</v>
      </c>
      <c r="G143" s="23" t="n">
        <v>6344406000</v>
      </c>
      <c r="H143" s="23" t="n">
        <v>5358217000</v>
      </c>
      <c r="I143" s="4" t="n">
        <v>4.15</v>
      </c>
      <c r="J143" s="23" t="n">
        <v>1290142000</v>
      </c>
      <c r="K143" s="23" t="n">
        <v>178203000</v>
      </c>
      <c r="L143" s="23" t="n">
        <v>6173264000</v>
      </c>
      <c r="M143" s="23" t="n">
        <v>-759186000</v>
      </c>
      <c r="N143" s="23" t="n">
        <v>5414078000</v>
      </c>
      <c r="O143" s="23" t="n">
        <v>343371000</v>
      </c>
      <c r="P143" s="23" t="n">
        <v>4756555000</v>
      </c>
      <c r="Q143" s="23" t="n">
        <v>6390659000</v>
      </c>
      <c r="R143" s="23" t="n">
        <v>9861619000</v>
      </c>
      <c r="S143" s="4" t="n">
        <v>23.3429256594724</v>
      </c>
    </row>
    <row r="144" customFormat="false" ht="15" hidden="false" customHeight="false" outlineLevel="0" collapsed="false">
      <c r="A144" s="4" t="s">
        <v>215</v>
      </c>
      <c r="B144" s="4" t="n">
        <v>2024</v>
      </c>
      <c r="C144" s="4" t="s">
        <v>581</v>
      </c>
      <c r="D144" s="23" t="n">
        <v>14905386000</v>
      </c>
      <c r="E144" s="23" t="n">
        <v>7052791000</v>
      </c>
      <c r="F144" s="23" t="n">
        <v>4263913000</v>
      </c>
      <c r="G144" s="23" t="n">
        <v>4905157000</v>
      </c>
      <c r="H144" s="23" t="n">
        <v>3827772000</v>
      </c>
      <c r="I144" s="4" t="n">
        <v>2.9</v>
      </c>
      <c r="J144" s="23" t="n">
        <v>1319950000</v>
      </c>
      <c r="K144" s="23" t="n">
        <v>185236000</v>
      </c>
      <c r="L144" s="23" t="n">
        <v>4652269000</v>
      </c>
      <c r="M144" s="23" t="n">
        <v>-396670000</v>
      </c>
      <c r="N144" s="23" t="n">
        <v>4255599000</v>
      </c>
      <c r="O144" s="23" t="n">
        <v>293058000</v>
      </c>
      <c r="P144" s="23" t="n">
        <v>4983334000</v>
      </c>
      <c r="Q144" s="23" t="n">
        <v>5847856000</v>
      </c>
      <c r="R144" s="23" t="n">
        <v>8539454000</v>
      </c>
      <c r="S144" s="4" t="n">
        <v>36.446735395189</v>
      </c>
    </row>
    <row r="145" customFormat="false" ht="15" hidden="false" customHeight="false" outlineLevel="0" collapsed="false">
      <c r="A145" s="4" t="s">
        <v>215</v>
      </c>
      <c r="B145" s="4" t="n">
        <v>2023</v>
      </c>
      <c r="C145" s="4" t="s">
        <v>600</v>
      </c>
      <c r="D145" s="23" t="n">
        <v>17426706000</v>
      </c>
      <c r="E145" s="23" t="n">
        <v>7776925000</v>
      </c>
      <c r="F145" s="23" t="n">
        <v>5174860000</v>
      </c>
      <c r="G145" s="23" t="n">
        <v>5638104000</v>
      </c>
      <c r="H145" s="23" t="n">
        <v>4510931000</v>
      </c>
      <c r="I145" s="4" t="n">
        <v>3.32</v>
      </c>
      <c r="J145" s="23" t="n">
        <v>1358340000</v>
      </c>
      <c r="K145" s="23" t="n">
        <v>186462000</v>
      </c>
      <c r="L145" s="23" t="n">
        <v>5178938000</v>
      </c>
      <c r="M145" s="23" t="n">
        <v>-501568000</v>
      </c>
      <c r="N145" s="23" t="n">
        <v>4677370000</v>
      </c>
      <c r="O145" s="23" t="n">
        <v>286600000</v>
      </c>
      <c r="P145" s="23" t="n">
        <v>5011541000</v>
      </c>
      <c r="Q145" s="23" t="n">
        <v>5374697000</v>
      </c>
      <c r="R145" s="23" t="n">
        <v>8210172000</v>
      </c>
      <c r="S145" s="4" t="n">
        <v>18.6276276276276</v>
      </c>
    </row>
    <row r="146" customFormat="false" ht="15" hidden="false" customHeight="false" outlineLevel="0" collapsed="false">
      <c r="A146" s="4" t="s">
        <v>215</v>
      </c>
      <c r="B146" s="4" t="n">
        <v>2022</v>
      </c>
      <c r="C146" s="4" t="s">
        <v>601</v>
      </c>
      <c r="D146" s="23" t="n">
        <v>17227039000</v>
      </c>
      <c r="E146" s="23" t="n">
        <v>7871807000</v>
      </c>
      <c r="F146" s="23" t="n">
        <v>5381822000</v>
      </c>
      <c r="G146" s="23" t="n">
        <v>5711612000</v>
      </c>
      <c r="H146" s="23" t="n">
        <v>4605286000</v>
      </c>
      <c r="I146" s="4" t="n">
        <v>3.27</v>
      </c>
      <c r="J146" s="23" t="n">
        <v>1406280000</v>
      </c>
      <c r="K146" s="23" t="n">
        <v>184759000</v>
      </c>
      <c r="L146" s="23" t="n">
        <v>3099674000</v>
      </c>
      <c r="M146" s="23" t="n">
        <v>-546034000</v>
      </c>
      <c r="N146" s="23" t="n">
        <v>2553640000</v>
      </c>
      <c r="O146" s="23" t="n">
        <v>259064000</v>
      </c>
      <c r="P146" s="23" t="n">
        <v>5005830000</v>
      </c>
      <c r="Q146" s="23" t="n">
        <v>3657732000</v>
      </c>
      <c r="R146" s="23" t="n">
        <v>6278366000</v>
      </c>
      <c r="S146" s="4" t="n">
        <v>13.6717325227964</v>
      </c>
    </row>
    <row r="147" customFormat="false" ht="15" hidden="false" customHeight="false" outlineLevel="0" collapsed="false">
      <c r="A147" s="4" t="s">
        <v>219</v>
      </c>
      <c r="B147" s="4" t="n">
        <v>2025</v>
      </c>
      <c r="C147" s="4" t="s">
        <v>103</v>
      </c>
      <c r="D147" s="23" t="n">
        <v>32791000000</v>
      </c>
      <c r="E147" s="23" t="n">
        <v>32791000000</v>
      </c>
      <c r="F147" s="23" t="n">
        <v>18897000000</v>
      </c>
      <c r="G147" s="23" t="n">
        <v>20544000000</v>
      </c>
      <c r="H147" s="23" t="n">
        <v>14968000000</v>
      </c>
      <c r="I147" s="4" t="n">
        <v>16.52</v>
      </c>
      <c r="J147" s="23" t="n">
        <v>898000000</v>
      </c>
      <c r="K147" s="23" t="n">
        <v>722000000</v>
      </c>
      <c r="L147" s="23" t="n">
        <v>17648000000</v>
      </c>
      <c r="M147" s="23" t="n">
        <v>-1215000000</v>
      </c>
      <c r="N147" s="23" t="n">
        <v>16433000000</v>
      </c>
      <c r="O147" s="23" t="n">
        <v>597000000</v>
      </c>
      <c r="P147" s="23" t="n">
        <v>19000000000</v>
      </c>
      <c r="Q147" s="23" t="n">
        <v>10898000000</v>
      </c>
      <c r="R147" s="23" t="n">
        <v>7746000000</v>
      </c>
      <c r="S147" s="4" t="n">
        <v>34.4942598187311</v>
      </c>
    </row>
    <row r="148" customFormat="false" ht="15" hidden="false" customHeight="false" outlineLevel="0" collapsed="false">
      <c r="A148" s="4" t="s">
        <v>219</v>
      </c>
      <c r="B148" s="4" t="n">
        <v>2024</v>
      </c>
      <c r="C148" s="4" t="s">
        <v>572</v>
      </c>
      <c r="D148" s="23" t="n">
        <v>28167000000</v>
      </c>
      <c r="E148" s="23" t="n">
        <v>28167000000</v>
      </c>
      <c r="F148" s="23" t="n">
        <v>16327000000</v>
      </c>
      <c r="G148" s="23" t="n">
        <v>16797000000</v>
      </c>
      <c r="H148" s="23" t="n">
        <v>12874000000</v>
      </c>
      <c r="I148" s="4" t="n">
        <v>13.89</v>
      </c>
      <c r="J148" s="23" t="n">
        <v>927000000</v>
      </c>
      <c r="K148" s="23" t="n">
        <v>646000000</v>
      </c>
      <c r="L148" s="23" t="n">
        <v>14780000000</v>
      </c>
      <c r="M148" s="23" t="n">
        <v>-474000000</v>
      </c>
      <c r="N148" s="23" t="n">
        <v>14306000000</v>
      </c>
      <c r="O148" s="23" t="n">
        <v>526000000</v>
      </c>
      <c r="P148" s="23" t="n">
        <v>18226000000</v>
      </c>
      <c r="Q148" s="23" t="n">
        <v>8772000000</v>
      </c>
      <c r="R148" s="23" t="n">
        <v>6515000000</v>
      </c>
      <c r="S148" s="4" t="n">
        <v>37.8283045977012</v>
      </c>
    </row>
    <row r="149" customFormat="false" ht="15" hidden="false" customHeight="false" outlineLevel="0" collapsed="false">
      <c r="A149" s="4" t="s">
        <v>219</v>
      </c>
      <c r="B149" s="4" t="n">
        <v>2023</v>
      </c>
      <c r="C149" s="4" t="s">
        <v>573</v>
      </c>
      <c r="D149" s="23" t="n">
        <v>25098000000</v>
      </c>
      <c r="E149" s="23" t="n">
        <v>25098000000</v>
      </c>
      <c r="F149" s="23" t="n">
        <v>14630000000</v>
      </c>
      <c r="G149" s="23" t="n">
        <v>15013000000</v>
      </c>
      <c r="H149" s="23" t="n">
        <v>11195000000</v>
      </c>
      <c r="I149" s="4" t="n">
        <v>11.83</v>
      </c>
      <c r="J149" s="23" t="n">
        <v>946000000</v>
      </c>
      <c r="K149" s="23" t="n">
        <v>575000000</v>
      </c>
      <c r="L149" s="23" t="n">
        <v>11980000000</v>
      </c>
      <c r="M149" s="23" t="n">
        <v>-371000000</v>
      </c>
      <c r="N149" s="23" t="n">
        <v>11609000000</v>
      </c>
      <c r="O149" s="23" t="n">
        <v>460000000</v>
      </c>
      <c r="P149" s="23" t="n">
        <v>15681000000</v>
      </c>
      <c r="Q149" s="23" t="n">
        <v>9180000000</v>
      </c>
      <c r="R149" s="23" t="n">
        <v>6997000000</v>
      </c>
      <c r="S149" s="4" t="n">
        <v>35.9620573355818</v>
      </c>
    </row>
    <row r="150" customFormat="false" ht="15" hidden="false" customHeight="false" outlineLevel="0" collapsed="false">
      <c r="A150" s="4" t="s">
        <v>219</v>
      </c>
      <c r="B150" s="4" t="n">
        <v>2022</v>
      </c>
      <c r="C150" s="4" t="s">
        <v>574</v>
      </c>
      <c r="D150" s="23" t="n">
        <v>22237000000</v>
      </c>
      <c r="E150" s="23" t="n">
        <v>22237000000</v>
      </c>
      <c r="F150" s="23" t="n">
        <v>12722000000</v>
      </c>
      <c r="G150" s="23" t="n">
        <v>12953000000</v>
      </c>
      <c r="H150" s="23" t="n">
        <v>9930000000</v>
      </c>
      <c r="I150" s="4" t="n">
        <v>10.23</v>
      </c>
      <c r="J150" s="23" t="n">
        <v>971000000</v>
      </c>
      <c r="K150" s="23" t="n">
        <v>471000000</v>
      </c>
      <c r="L150" s="23" t="n">
        <v>11500000000</v>
      </c>
      <c r="M150" s="23" t="n">
        <v>-442000000</v>
      </c>
      <c r="N150" s="23" t="n">
        <v>11058000000</v>
      </c>
      <c r="O150" s="23" t="n">
        <v>295000000</v>
      </c>
      <c r="P150" s="23" t="n">
        <v>14023000000</v>
      </c>
      <c r="Q150" s="23" t="n">
        <v>7408000000</v>
      </c>
      <c r="R150" s="23" t="n">
        <v>6377000000</v>
      </c>
      <c r="S150" s="4" t="n">
        <v>33.8918128654971</v>
      </c>
    </row>
    <row r="151" customFormat="false" ht="15" hidden="false" customHeight="false" outlineLevel="0" collapsed="false">
      <c r="A151" s="4" t="s">
        <v>219</v>
      </c>
      <c r="B151" s="4" t="n">
        <v>2021</v>
      </c>
      <c r="C151" s="4" t="s">
        <v>575</v>
      </c>
      <c r="D151" s="23" t="n">
        <v>18884000000</v>
      </c>
      <c r="E151" s="23" t="n">
        <v>18884000000</v>
      </c>
      <c r="F151" s="23" t="n">
        <v>10082000000</v>
      </c>
      <c r="G151" s="23" t="n">
        <v>11464000000</v>
      </c>
      <c r="H151" s="23" t="n">
        <v>8687000000</v>
      </c>
      <c r="I151" s="4" t="n">
        <v>8.76</v>
      </c>
      <c r="J151" s="23" t="n">
        <v>992000000</v>
      </c>
      <c r="K151" s="23" t="n">
        <v>431000000</v>
      </c>
      <c r="L151" s="23" t="n">
        <v>9463000000</v>
      </c>
      <c r="M151" s="23" t="n">
        <v>-814000000</v>
      </c>
      <c r="N151" s="23" t="n">
        <v>8649000000</v>
      </c>
      <c r="O151" s="23" t="n">
        <v>273000000</v>
      </c>
      <c r="P151" s="23" t="n">
        <v>13901000000</v>
      </c>
      <c r="Q151" s="23" t="n">
        <v>7894000000</v>
      </c>
      <c r="R151" s="23" t="n">
        <v>7412000000</v>
      </c>
      <c r="S151" s="4" t="n">
        <v>40.8782707622298</v>
      </c>
    </row>
    <row r="152" customFormat="false" ht="15" hidden="false" customHeight="false" outlineLevel="0" collapsed="false">
      <c r="A152" s="4" t="s">
        <v>222</v>
      </c>
      <c r="B152" s="4" t="n">
        <v>2025</v>
      </c>
      <c r="C152" s="4" t="s">
        <v>103</v>
      </c>
      <c r="D152" s="23" t="n">
        <v>200966000000</v>
      </c>
      <c r="E152" s="23" t="n">
        <v>164791000000</v>
      </c>
      <c r="F152" s="23" t="n">
        <v>83276000000</v>
      </c>
      <c r="G152" s="23" t="n">
        <v>104548000000</v>
      </c>
      <c r="H152" s="23" t="n">
        <v>60458000000</v>
      </c>
      <c r="I152" s="4" t="n">
        <v>23.49</v>
      </c>
      <c r="J152" s="23" t="n">
        <v>2574000000</v>
      </c>
      <c r="K152" s="23" t="n">
        <v>1165000000</v>
      </c>
      <c r="L152" s="23" t="n">
        <v>115800000000</v>
      </c>
      <c r="M152" s="23" t="n">
        <v>-69691000000</v>
      </c>
      <c r="N152" s="23" t="n">
        <v>46109000000</v>
      </c>
      <c r="O152" s="23" t="n">
        <v>20427000000</v>
      </c>
      <c r="P152" s="23" t="n">
        <v>83897000000</v>
      </c>
      <c r="Q152" s="23" t="n">
        <v>81592000000</v>
      </c>
      <c r="R152" s="23" t="n">
        <v>217243000000</v>
      </c>
      <c r="S152" s="4" t="n">
        <v>27.5266889074229</v>
      </c>
    </row>
    <row r="153" customFormat="false" ht="15" hidden="false" customHeight="false" outlineLevel="0" collapsed="false">
      <c r="A153" s="4" t="s">
        <v>222</v>
      </c>
      <c r="B153" s="4" t="n">
        <v>2024</v>
      </c>
      <c r="C153" s="4" t="s">
        <v>572</v>
      </c>
      <c r="D153" s="23" t="n">
        <v>164501000000</v>
      </c>
      <c r="E153" s="23" t="n">
        <v>134340000000</v>
      </c>
      <c r="F153" s="23" t="n">
        <v>69380000000</v>
      </c>
      <c r="G153" s="23" t="n">
        <v>86876000000</v>
      </c>
      <c r="H153" s="23" t="n">
        <v>62360000000</v>
      </c>
      <c r="I153" s="4" t="n">
        <v>23.86</v>
      </c>
      <c r="J153" s="23" t="n">
        <v>2614000000</v>
      </c>
      <c r="K153" s="23" t="n">
        <v>715000000</v>
      </c>
      <c r="L153" s="23" t="n">
        <v>91328000000</v>
      </c>
      <c r="M153" s="23" t="n">
        <v>-37256000000</v>
      </c>
      <c r="N153" s="23" t="n">
        <v>54072000000</v>
      </c>
      <c r="O153" s="23" t="n">
        <v>16690000000</v>
      </c>
      <c r="P153" s="23" t="n">
        <v>49060000000</v>
      </c>
      <c r="Q153" s="23" t="n">
        <v>77815000000</v>
      </c>
      <c r="R153" s="23" t="n">
        <v>182637000000</v>
      </c>
      <c r="S153" s="4" t="n">
        <v>23.7915481511581</v>
      </c>
    </row>
    <row r="154" customFormat="false" ht="15" hidden="false" customHeight="false" outlineLevel="0" collapsed="false">
      <c r="A154" s="4" t="s">
        <v>222</v>
      </c>
      <c r="B154" s="4" t="n">
        <v>2023</v>
      </c>
      <c r="C154" s="4" t="s">
        <v>573</v>
      </c>
      <c r="D154" s="23" t="n">
        <v>134902000000</v>
      </c>
      <c r="E154" s="23" t="n">
        <v>108943000000</v>
      </c>
      <c r="F154" s="23" t="n">
        <v>46751000000</v>
      </c>
      <c r="G154" s="23" t="n">
        <v>59052000000</v>
      </c>
      <c r="H154" s="23" t="n">
        <v>39098000000</v>
      </c>
      <c r="I154" s="4" t="n">
        <v>14.87</v>
      </c>
      <c r="J154" s="23" t="n">
        <v>2629000000</v>
      </c>
      <c r="K154" s="23" t="n">
        <v>446000000</v>
      </c>
      <c r="L154" s="23" t="n">
        <v>71113000000</v>
      </c>
      <c r="M154" s="23" t="n">
        <v>-27266000000</v>
      </c>
      <c r="N154" s="23" t="n">
        <v>43847000000</v>
      </c>
      <c r="O154" s="23" t="n">
        <v>14027000000</v>
      </c>
      <c r="P154" s="23" t="n">
        <v>37234000000</v>
      </c>
      <c r="Q154" s="23" t="n">
        <v>65403000000</v>
      </c>
      <c r="R154" s="23" t="n">
        <v>153168000000</v>
      </c>
      <c r="S154" s="4" t="n">
        <v>23.302172481896</v>
      </c>
    </row>
    <row r="155" customFormat="false" ht="15" hidden="false" customHeight="false" outlineLevel="0" collapsed="false">
      <c r="A155" s="4" t="s">
        <v>222</v>
      </c>
      <c r="B155" s="4" t="n">
        <v>2022</v>
      </c>
      <c r="C155" s="4" t="s">
        <v>574</v>
      </c>
      <c r="D155" s="23" t="n">
        <v>116609000000</v>
      </c>
      <c r="E155" s="23" t="n">
        <v>91360000000</v>
      </c>
      <c r="F155" s="23" t="n">
        <v>28944000000</v>
      </c>
      <c r="G155" s="23" t="n">
        <v>37690000000</v>
      </c>
      <c r="H155" s="23" t="n">
        <v>23200000000</v>
      </c>
      <c r="I155" s="4" t="n">
        <v>8.59</v>
      </c>
      <c r="J155" s="23" t="n">
        <v>2702000000</v>
      </c>
      <c r="K155" s="23" t="n">
        <v>185000000</v>
      </c>
      <c r="L155" s="23" t="n">
        <v>50475000000</v>
      </c>
      <c r="M155" s="23" t="n">
        <v>-31431000000</v>
      </c>
      <c r="N155" s="23" t="n">
        <v>19044000000</v>
      </c>
      <c r="O155" s="23" t="n">
        <v>11992000000</v>
      </c>
      <c r="P155" s="23" t="n">
        <v>26591000000</v>
      </c>
      <c r="Q155" s="23" t="n">
        <v>40738000000</v>
      </c>
      <c r="R155" s="23" t="n">
        <v>125713000000</v>
      </c>
      <c r="S155" s="4" t="n">
        <v>13.9443800695249</v>
      </c>
    </row>
    <row r="156" customFormat="false" ht="15" hidden="false" customHeight="false" outlineLevel="0" collapsed="false">
      <c r="A156" s="4" t="s">
        <v>222</v>
      </c>
      <c r="B156" s="4" t="n">
        <v>2021</v>
      </c>
      <c r="C156" s="4" t="s">
        <v>575</v>
      </c>
      <c r="D156" s="23" t="n">
        <v>117929000000</v>
      </c>
      <c r="E156" s="23" t="n">
        <v>95280000000</v>
      </c>
      <c r="F156" s="23" t="n">
        <v>46753000000</v>
      </c>
      <c r="G156" s="23" t="n">
        <v>55274000000</v>
      </c>
      <c r="H156" s="23" t="n">
        <v>39370000000</v>
      </c>
      <c r="I156" s="4" t="n">
        <v>13.77</v>
      </c>
      <c r="J156" s="23" t="n">
        <v>2859000000</v>
      </c>
      <c r="K156" s="23" t="n">
        <v>23000000</v>
      </c>
      <c r="L156" s="23" t="n">
        <v>57683000000</v>
      </c>
      <c r="M156" s="23" t="n">
        <v>-18567000000</v>
      </c>
      <c r="N156" s="23" t="n">
        <v>39116000000</v>
      </c>
      <c r="O156" s="23" t="n">
        <v>9164000000</v>
      </c>
      <c r="P156" s="23" t="n">
        <v>13873000000</v>
      </c>
      <c r="Q156" s="23" t="n">
        <v>47998000000</v>
      </c>
      <c r="R156" s="23" t="n">
        <v>124879000000</v>
      </c>
      <c r="S156" s="4" t="n">
        <v>24.0421729807005</v>
      </c>
    </row>
    <row r="157" customFormat="false" ht="15" hidden="false" customHeight="false" outlineLevel="0" collapsed="false">
      <c r="A157" s="4" t="s">
        <v>225</v>
      </c>
      <c r="B157" s="4" t="n">
        <v>2025</v>
      </c>
      <c r="C157" s="4" t="s">
        <v>103</v>
      </c>
      <c r="D157" s="23" t="n">
        <v>64926000000</v>
      </c>
      <c r="E157" s="23" t="n">
        <v>46731000000</v>
      </c>
      <c r="F157" s="23" t="n">
        <v>23486000000</v>
      </c>
      <c r="G157" s="23" t="n">
        <v>28262000000</v>
      </c>
      <c r="H157" s="23" t="n">
        <v>18254000000</v>
      </c>
      <c r="I157" s="4" t="n">
        <v>7.28</v>
      </c>
      <c r="J157" s="23" t="n">
        <v>2507000000</v>
      </c>
      <c r="K157" s="23" t="n">
        <v>1357000000</v>
      </c>
      <c r="L157" s="23" t="n">
        <v>16472000000</v>
      </c>
      <c r="M157" s="23" t="n">
        <v>-4112000000</v>
      </c>
      <c r="N157" s="23" t="n">
        <v>12360000000</v>
      </c>
      <c r="O157" s="23" t="n">
        <v>0</v>
      </c>
      <c r="P157" s="23" t="n">
        <v>50534000000</v>
      </c>
      <c r="Q157" s="23" t="n">
        <v>14565000000</v>
      </c>
      <c r="R157" s="23" t="n">
        <v>52662000000</v>
      </c>
      <c r="S157" s="4" t="n">
        <v>14.4191780821918</v>
      </c>
    </row>
    <row r="158" customFormat="false" ht="15" hidden="false" customHeight="false" outlineLevel="0" collapsed="false">
      <c r="A158" s="4" t="s">
        <v>225</v>
      </c>
      <c r="B158" s="4" t="n">
        <v>2024</v>
      </c>
      <c r="C158" s="4" t="s">
        <v>572</v>
      </c>
      <c r="D158" s="23" t="n">
        <v>64168000000</v>
      </c>
      <c r="E158" s="23" t="n">
        <v>48975000000</v>
      </c>
      <c r="F158" s="23" t="n">
        <v>20221000000</v>
      </c>
      <c r="G158" s="23" t="n">
        <v>25706000000</v>
      </c>
      <c r="H158" s="23" t="n">
        <v>17117000000</v>
      </c>
      <c r="I158" s="4" t="n">
        <v>6.74</v>
      </c>
      <c r="J158" s="23" t="n">
        <v>2541000000</v>
      </c>
      <c r="K158" s="23" t="n">
        <v>1271000000</v>
      </c>
      <c r="L158" s="23" t="n">
        <v>21468000000</v>
      </c>
      <c r="M158" s="23" t="n">
        <v>-3372000000</v>
      </c>
      <c r="N158" s="23" t="n">
        <v>18096000000</v>
      </c>
      <c r="O158" s="23" t="n">
        <v>761000000</v>
      </c>
      <c r="P158" s="23" t="n">
        <v>38270000000</v>
      </c>
      <c r="Q158" s="23" t="n">
        <v>13689000000</v>
      </c>
      <c r="R158" s="23" t="n">
        <v>46372000000</v>
      </c>
      <c r="S158" s="4" t="n">
        <v>14.715976331361</v>
      </c>
    </row>
    <row r="159" customFormat="false" ht="15" hidden="false" customHeight="false" outlineLevel="0" collapsed="false">
      <c r="A159" s="4" t="s">
        <v>225</v>
      </c>
      <c r="B159" s="4" t="n">
        <v>2023</v>
      </c>
      <c r="C159" s="4" t="s">
        <v>573</v>
      </c>
      <c r="D159" s="23" t="n">
        <v>60115000000</v>
      </c>
      <c r="E159" s="23" t="n">
        <v>43989000000</v>
      </c>
      <c r="F159" s="23" t="n">
        <v>2954000000</v>
      </c>
      <c r="G159" s="23" t="n">
        <v>6907000000</v>
      </c>
      <c r="H159" s="23" t="n">
        <v>365000000</v>
      </c>
      <c r="I159" s="4" t="n">
        <v>0.14</v>
      </c>
      <c r="J159" s="23" t="n">
        <v>2547000000</v>
      </c>
      <c r="K159" s="23" t="n">
        <v>1146000000</v>
      </c>
      <c r="L159" s="23" t="n">
        <v>13006000000</v>
      </c>
      <c r="M159" s="23" t="n">
        <v>-3863000000</v>
      </c>
      <c r="N159" s="23" t="n">
        <v>9143000000</v>
      </c>
      <c r="O159" s="23" t="n">
        <v>645000000</v>
      </c>
      <c r="P159" s="23" t="n">
        <v>36268000000</v>
      </c>
      <c r="Q159" s="23" t="n">
        <v>7093000000</v>
      </c>
      <c r="R159" s="23" t="n">
        <v>37635000000</v>
      </c>
      <c r="S159" s="4" t="n">
        <v>778.714285714286</v>
      </c>
    </row>
    <row r="160" customFormat="false" ht="15" hidden="false" customHeight="false" outlineLevel="0" collapsed="false">
      <c r="A160" s="4" t="s">
        <v>225</v>
      </c>
      <c r="B160" s="4" t="n">
        <v>2022</v>
      </c>
      <c r="C160" s="4" t="s">
        <v>574</v>
      </c>
      <c r="D160" s="23" t="n">
        <v>59283000000</v>
      </c>
      <c r="E160" s="23" t="n">
        <v>41872000000</v>
      </c>
      <c r="F160" s="23" t="n">
        <v>18282000000</v>
      </c>
      <c r="G160" s="23" t="n">
        <v>21315000000</v>
      </c>
      <c r="H160" s="23" t="n">
        <v>14519000000</v>
      </c>
      <c r="I160" s="4" t="n">
        <v>5.71</v>
      </c>
      <c r="J160" s="23" t="n">
        <v>2542000000</v>
      </c>
      <c r="K160" s="23" t="n">
        <v>962000000</v>
      </c>
      <c r="L160" s="23" t="n">
        <v>19095000000</v>
      </c>
      <c r="M160" s="23" t="n">
        <v>-4388000000</v>
      </c>
      <c r="N160" s="23" t="n">
        <v>14707000000</v>
      </c>
      <c r="O160" s="23" t="n">
        <v>541000000</v>
      </c>
      <c r="P160" s="23" t="n">
        <v>31985000000</v>
      </c>
      <c r="Q160" s="23" t="n">
        <v>13192000000</v>
      </c>
      <c r="R160" s="23" t="n">
        <v>46058000000</v>
      </c>
      <c r="S160" s="4" t="n">
        <v>19.3630017452007</v>
      </c>
    </row>
    <row r="161" customFormat="false" ht="15" hidden="false" customHeight="false" outlineLevel="0" collapsed="false">
      <c r="A161" s="4" t="s">
        <v>225</v>
      </c>
      <c r="B161" s="4" t="n">
        <v>2021</v>
      </c>
      <c r="C161" s="4" t="s">
        <v>575</v>
      </c>
      <c r="D161" s="23" t="n">
        <v>48704000000</v>
      </c>
      <c r="E161" s="23" t="n">
        <v>35078000000</v>
      </c>
      <c r="F161" s="23" t="n">
        <v>13199000000</v>
      </c>
      <c r="G161" s="23" t="n">
        <v>17899000000</v>
      </c>
      <c r="H161" s="23" t="n">
        <v>13049000000</v>
      </c>
      <c r="I161" s="4" t="n">
        <v>5.14</v>
      </c>
      <c r="J161" s="23" t="n">
        <v>2538000000</v>
      </c>
      <c r="K161" s="23" t="n">
        <v>806000000</v>
      </c>
      <c r="L161" s="23" t="n">
        <v>14109000000</v>
      </c>
      <c r="M161" s="23" t="n">
        <v>-4448000000</v>
      </c>
      <c r="N161" s="23" t="n">
        <v>9661000000</v>
      </c>
      <c r="O161" s="23" t="n">
        <v>479000000</v>
      </c>
      <c r="P161" s="23" t="n">
        <v>34631000000</v>
      </c>
      <c r="Q161" s="23" t="n">
        <v>8096000000</v>
      </c>
      <c r="R161" s="23" t="n">
        <v>38257000000</v>
      </c>
      <c r="S161" s="4" t="n">
        <v>14.8527131782946</v>
      </c>
    </row>
    <row r="162" customFormat="false" ht="15" hidden="false" customHeight="false" outlineLevel="0" collapsed="false">
      <c r="A162" s="4" t="s">
        <v>228</v>
      </c>
      <c r="B162" s="4" t="n">
        <v>2025</v>
      </c>
      <c r="C162" s="4" t="s">
        <v>103</v>
      </c>
      <c r="D162" s="23" t="n">
        <v>26981000000</v>
      </c>
      <c r="E162" s="23" t="n">
        <v>11404000000</v>
      </c>
      <c r="F162" s="23" t="n">
        <v>6223000000</v>
      </c>
      <c r="G162" s="23" t="n">
        <v>7395000000</v>
      </c>
      <c r="H162" s="23" t="n">
        <v>4160000000</v>
      </c>
      <c r="I162" s="4" t="n">
        <v>8.43</v>
      </c>
      <c r="J162" s="23" t="n">
        <v>490000000</v>
      </c>
      <c r="K162" s="23" t="n">
        <v>960000000</v>
      </c>
      <c r="L162" s="23" t="n">
        <v>5292000000</v>
      </c>
      <c r="M162" s="23" t="n">
        <v>-291000000</v>
      </c>
      <c r="N162" s="23" t="n">
        <v>5001000000</v>
      </c>
      <c r="O162" s="23" t="n">
        <v>394000000</v>
      </c>
      <c r="P162" s="23" t="n">
        <v>21449000000</v>
      </c>
      <c r="Q162" s="23" t="n">
        <v>2687000000</v>
      </c>
      <c r="R162" s="23" t="n">
        <v>15315000000</v>
      </c>
      <c r="S162" s="4" t="n">
        <v>21.877358490566</v>
      </c>
    </row>
    <row r="163" customFormat="false" ht="15" hidden="false" customHeight="false" outlineLevel="0" collapsed="false">
      <c r="A163" s="4" t="s">
        <v>228</v>
      </c>
      <c r="B163" s="4" t="n">
        <v>2024</v>
      </c>
      <c r="C163" s="4" t="s">
        <v>572</v>
      </c>
      <c r="D163" s="23" t="n">
        <v>24458000000</v>
      </c>
      <c r="E163" s="23" t="n">
        <v>10462000000</v>
      </c>
      <c r="F163" s="23" t="n">
        <v>5817000000</v>
      </c>
      <c r="G163" s="23" t="n">
        <v>6926000000</v>
      </c>
      <c r="H163" s="23" t="n">
        <v>4060000000</v>
      </c>
      <c r="I163" s="4" t="n">
        <v>8.18</v>
      </c>
      <c r="J163" s="23" t="n">
        <v>496000000</v>
      </c>
      <c r="K163" s="23" t="n">
        <v>700000000</v>
      </c>
      <c r="L163" s="23" t="n">
        <v>4302000000</v>
      </c>
      <c r="M163" s="23" t="n">
        <v>-316000000</v>
      </c>
      <c r="N163" s="23" t="n">
        <v>3986000000</v>
      </c>
      <c r="O163" s="23" t="n">
        <v>368000000</v>
      </c>
      <c r="P163" s="23" t="n">
        <v>21862000000</v>
      </c>
      <c r="Q163" s="23" t="n">
        <v>2398000000</v>
      </c>
      <c r="R163" s="23" t="n">
        <v>13535000000</v>
      </c>
      <c r="S163" s="4" t="n">
        <v>25.7466666666667</v>
      </c>
    </row>
    <row r="164" customFormat="false" ht="15" hidden="false" customHeight="false" outlineLevel="0" collapsed="false">
      <c r="A164" s="4" t="s">
        <v>228</v>
      </c>
      <c r="B164" s="4" t="n">
        <v>2023</v>
      </c>
      <c r="C164" s="4" t="s">
        <v>573</v>
      </c>
      <c r="D164" s="23" t="n">
        <v>22736000000</v>
      </c>
      <c r="E164" s="23" t="n">
        <v>9637000000</v>
      </c>
      <c r="F164" s="23" t="n">
        <v>5282000000</v>
      </c>
      <c r="G164" s="23" t="n">
        <v>6317000000</v>
      </c>
      <c r="H164" s="23" t="n">
        <v>3756000000</v>
      </c>
      <c r="I164" s="4" t="n">
        <v>7.53</v>
      </c>
      <c r="J164" s="23" t="n">
        <v>499000000</v>
      </c>
      <c r="K164" s="23" t="n">
        <v>578000000</v>
      </c>
      <c r="L164" s="23" t="n">
        <v>4258000000</v>
      </c>
      <c r="M164" s="23" t="n">
        <v>-416000000</v>
      </c>
      <c r="N164" s="23" t="n">
        <v>3842000000</v>
      </c>
      <c r="O164" s="23" t="n">
        <v>363000000</v>
      </c>
      <c r="P164" s="23" t="n">
        <v>15436000000</v>
      </c>
      <c r="Q164" s="23" t="n">
        <v>3358000000</v>
      </c>
      <c r="R164" s="23" t="n">
        <v>12370000000</v>
      </c>
      <c r="S164" s="4" t="n">
        <v>24.9302631578947</v>
      </c>
    </row>
    <row r="165" customFormat="false" ht="15" hidden="false" customHeight="false" outlineLevel="0" collapsed="false">
      <c r="A165" s="4" t="s">
        <v>228</v>
      </c>
      <c r="B165" s="4" t="n">
        <v>2022</v>
      </c>
      <c r="C165" s="4" t="s">
        <v>574</v>
      </c>
      <c r="D165" s="23" t="n">
        <v>20720000000</v>
      </c>
      <c r="E165" s="23" t="n">
        <v>8649000000</v>
      </c>
      <c r="F165" s="23" t="n">
        <v>4280000000</v>
      </c>
      <c r="G165" s="23" t="n">
        <v>5270000000</v>
      </c>
      <c r="H165" s="23" t="n">
        <v>3050000000</v>
      </c>
      <c r="I165" s="4" t="n">
        <v>6.04</v>
      </c>
      <c r="J165" s="23" t="n">
        <v>505000000</v>
      </c>
      <c r="K165" s="23" t="n">
        <v>469000000</v>
      </c>
      <c r="L165" s="23" t="n">
        <v>3465000000</v>
      </c>
      <c r="M165" s="23" t="n">
        <v>-470000000</v>
      </c>
      <c r="N165" s="23" t="n">
        <v>2995000000</v>
      </c>
      <c r="O165" s="23" t="n">
        <v>367000000</v>
      </c>
      <c r="P165" s="23" t="n">
        <v>13472000000</v>
      </c>
      <c r="Q165" s="23" t="n">
        <v>1442000000</v>
      </c>
      <c r="R165" s="23" t="n">
        <v>10749000000</v>
      </c>
      <c r="S165" s="4" t="n">
        <v>27.0834697217676</v>
      </c>
    </row>
    <row r="166" customFormat="false" ht="15" hidden="false" customHeight="false" outlineLevel="0" collapsed="false">
      <c r="A166" s="4" t="s">
        <v>228</v>
      </c>
      <c r="B166" s="4" t="n">
        <v>2021</v>
      </c>
      <c r="C166" s="4" t="s">
        <v>575</v>
      </c>
      <c r="D166" s="23" t="n">
        <v>19820000000</v>
      </c>
      <c r="E166" s="23" t="n">
        <v>8395000000</v>
      </c>
      <c r="F166" s="23" t="n">
        <v>4312000000</v>
      </c>
      <c r="G166" s="23" t="n">
        <v>5399000000</v>
      </c>
      <c r="H166" s="23" t="n">
        <v>3143000000</v>
      </c>
      <c r="I166" s="4" t="n">
        <v>6.13</v>
      </c>
      <c r="J166" s="23" t="n">
        <v>513000000</v>
      </c>
      <c r="K166" s="23" t="n">
        <v>444000000</v>
      </c>
      <c r="L166" s="23" t="n">
        <v>3516000000</v>
      </c>
      <c r="M166" s="23" t="n">
        <v>-406000000</v>
      </c>
      <c r="N166" s="23" t="n">
        <v>3110000000</v>
      </c>
      <c r="O166" s="23" t="n">
        <v>348000000</v>
      </c>
      <c r="P166" s="23" t="n">
        <v>13162000000</v>
      </c>
      <c r="Q166" s="23" t="n">
        <v>1752000000</v>
      </c>
      <c r="R166" s="23" t="n">
        <v>11222000000</v>
      </c>
      <c r="S166" s="4" t="n">
        <v>28.0354838709677</v>
      </c>
    </row>
    <row r="167" customFormat="false" ht="15" hidden="false" customHeight="false" outlineLevel="0" collapsed="false">
      <c r="A167" s="4" t="s">
        <v>232</v>
      </c>
      <c r="B167" s="4" t="n">
        <v>2025</v>
      </c>
      <c r="C167" s="4" t="s">
        <v>103</v>
      </c>
      <c r="D167" s="23" t="n">
        <v>114983000000</v>
      </c>
      <c r="E167" s="23" t="n">
        <v>65617000000</v>
      </c>
      <c r="F167" s="23" t="n">
        <v>21954000000</v>
      </c>
      <c r="G167" s="23" t="n">
        <v>26612000000</v>
      </c>
      <c r="H167" s="23" t="n">
        <v>16861000000</v>
      </c>
      <c r="I167" s="4" t="n">
        <v>10.2</v>
      </c>
      <c r="J167" s="23" t="n">
        <v>1593000000</v>
      </c>
      <c r="K167" s="23" t="n">
        <v>49017000000</v>
      </c>
      <c r="L167" s="23" t="n">
        <v>48998000000</v>
      </c>
      <c r="M167" s="23" t="n">
        <v>-2898000000</v>
      </c>
      <c r="N167" s="23" t="n">
        <v>46100000000</v>
      </c>
      <c r="O167" s="23" t="n">
        <v>1926000000</v>
      </c>
      <c r="P167" s="23" t="n">
        <v>475560000000</v>
      </c>
      <c r="Q167" s="23" t="n">
        <v>539971000000</v>
      </c>
      <c r="R167" s="23" t="n">
        <v>112652000000</v>
      </c>
      <c r="S167" s="4" t="n">
        <v>17.1692456479691</v>
      </c>
    </row>
    <row r="168" customFormat="false" ht="15" hidden="false" customHeight="false" outlineLevel="0" collapsed="false">
      <c r="A168" s="4" t="s">
        <v>232</v>
      </c>
      <c r="B168" s="4" t="n">
        <v>2024</v>
      </c>
      <c r="C168" s="4" t="s">
        <v>572</v>
      </c>
      <c r="D168" s="23" t="n">
        <v>103145000000</v>
      </c>
      <c r="E168" s="23" t="n">
        <v>57357000000</v>
      </c>
      <c r="F168" s="23" t="n">
        <v>17596000000</v>
      </c>
      <c r="G168" s="23" t="n">
        <v>22757000000</v>
      </c>
      <c r="H168" s="23" t="n">
        <v>13390000000</v>
      </c>
      <c r="I168" s="4" t="n">
        <v>7.95</v>
      </c>
      <c r="J168" s="23" t="n">
        <v>1611000000</v>
      </c>
      <c r="K168" s="23" t="n">
        <v>45524000000</v>
      </c>
      <c r="L168" s="23" t="n">
        <v>1362000000</v>
      </c>
      <c r="M168" s="23" t="n">
        <v>-3462000000</v>
      </c>
      <c r="N168" s="23" t="n">
        <v>-2100000000</v>
      </c>
      <c r="O168" s="23" t="n">
        <v>1622000000</v>
      </c>
      <c r="P168" s="23" t="n">
        <v>360488000000</v>
      </c>
      <c r="Q168" s="23" t="n">
        <v>401589000000</v>
      </c>
      <c r="R168" s="23" t="n">
        <v>105428000000</v>
      </c>
      <c r="S168" s="4" t="n">
        <v>15.636815920398</v>
      </c>
    </row>
    <row r="169" customFormat="false" ht="15" hidden="false" customHeight="false" outlineLevel="0" collapsed="false">
      <c r="A169" s="4" t="s">
        <v>232</v>
      </c>
      <c r="B169" s="4" t="n">
        <v>2023</v>
      </c>
      <c r="C169" s="4" t="s">
        <v>573</v>
      </c>
      <c r="D169" s="23" t="n">
        <v>88286000000</v>
      </c>
      <c r="E169" s="23" t="n">
        <v>50135000000</v>
      </c>
      <c r="F169" s="23" t="n">
        <v>11813000000</v>
      </c>
      <c r="G169" s="23" t="n">
        <v>16069000000</v>
      </c>
      <c r="H169" s="23" t="n">
        <v>9087000000</v>
      </c>
      <c r="I169" s="4" t="n">
        <v>5.18</v>
      </c>
      <c r="J169" s="23" t="n">
        <v>1646000000</v>
      </c>
      <c r="K169" s="23" t="n">
        <v>37619000000</v>
      </c>
      <c r="L169" s="23" t="n">
        <v>-33536000000</v>
      </c>
      <c r="M169" s="23" t="n">
        <v>-3412000000</v>
      </c>
      <c r="N169" s="23" t="n">
        <v>-36948000000</v>
      </c>
      <c r="O169" s="23" t="n">
        <v>1709000000</v>
      </c>
      <c r="P169" s="23" t="n">
        <v>339038000000</v>
      </c>
      <c r="Q169" s="23" t="n">
        <v>461890000000</v>
      </c>
      <c r="R169" s="23" t="n">
        <v>99982000000</v>
      </c>
      <c r="S169" s="4" t="n">
        <v>17.7958015267176</v>
      </c>
    </row>
    <row r="170" customFormat="false" ht="15" hidden="false" customHeight="false" outlineLevel="0" collapsed="false">
      <c r="A170" s="4" t="s">
        <v>232</v>
      </c>
      <c r="B170" s="4" t="n">
        <v>2022</v>
      </c>
      <c r="C170" s="4" t="s">
        <v>574</v>
      </c>
      <c r="D170" s="23" t="n">
        <v>62478000000</v>
      </c>
      <c r="E170" s="23" t="n">
        <v>49930000000</v>
      </c>
      <c r="F170" s="23" t="n">
        <v>14089000000</v>
      </c>
      <c r="G170" s="23" t="n">
        <v>18087000000</v>
      </c>
      <c r="H170" s="23" t="n">
        <v>11029000000</v>
      </c>
      <c r="I170" s="4" t="n">
        <v>6.15</v>
      </c>
      <c r="J170" s="23" t="n">
        <v>1713000000</v>
      </c>
      <c r="K170" s="23" t="n">
        <v>12268000000</v>
      </c>
      <c r="L170" s="23" t="n">
        <v>-6397000000</v>
      </c>
      <c r="M170" s="23" t="n">
        <v>-3078000000</v>
      </c>
      <c r="N170" s="23" t="n">
        <v>-9475000000</v>
      </c>
      <c r="O170" s="23" t="n">
        <v>1875000000</v>
      </c>
      <c r="P170" s="23" t="n">
        <v>308750000000</v>
      </c>
      <c r="Q170" s="23" t="n">
        <v>467855000000</v>
      </c>
      <c r="R170" s="23" t="n">
        <v>101231000000</v>
      </c>
      <c r="S170" s="4" t="n">
        <v>13.6468699839486</v>
      </c>
    </row>
    <row r="171" customFormat="false" ht="15" hidden="false" customHeight="false" outlineLevel="0" collapsed="false">
      <c r="A171" s="4" t="s">
        <v>232</v>
      </c>
      <c r="B171" s="4" t="n">
        <v>2021</v>
      </c>
      <c r="C171" s="4" t="s">
        <v>575</v>
      </c>
      <c r="D171" s="23" t="n">
        <v>57780000000</v>
      </c>
      <c r="E171" s="23" t="n">
        <v>56410000000</v>
      </c>
      <c r="F171" s="23" t="n">
        <v>19668000000</v>
      </c>
      <c r="G171" s="23" t="n">
        <v>23884000000</v>
      </c>
      <c r="H171" s="23" t="n">
        <v>15034000000</v>
      </c>
      <c r="I171" s="4" t="n">
        <v>8.03</v>
      </c>
      <c r="J171" s="23" t="n">
        <v>1814000000</v>
      </c>
      <c r="K171" s="23" t="n">
        <v>1366000000</v>
      </c>
      <c r="L171" s="23" t="n">
        <v>33971000000</v>
      </c>
      <c r="M171" s="23" t="n">
        <v>-2308000000</v>
      </c>
      <c r="N171" s="23" t="n">
        <v>31663000000</v>
      </c>
      <c r="O171" s="23" t="n">
        <v>2085000000</v>
      </c>
      <c r="P171" s="23" t="n">
        <v>305356000000</v>
      </c>
      <c r="Q171" s="23" t="n">
        <v>500350000000</v>
      </c>
      <c r="R171" s="23" t="n">
        <v>106598000000</v>
      </c>
      <c r="S171" s="4" t="n">
        <v>12.0294117647059</v>
      </c>
    </row>
    <row r="172" customFormat="false" ht="15" hidden="false" customHeight="false" outlineLevel="0" collapsed="false">
      <c r="A172" s="4" t="s">
        <v>235</v>
      </c>
      <c r="B172" s="4" t="n">
        <v>2026</v>
      </c>
      <c r="C172" s="4" t="s">
        <v>115</v>
      </c>
      <c r="D172" s="23" t="n">
        <v>331839000000</v>
      </c>
      <c r="E172" s="23" t="n">
        <v>225465000000</v>
      </c>
      <c r="F172" s="23" t="n">
        <v>155237000000</v>
      </c>
      <c r="G172" s="23" t="n">
        <v>207519000000</v>
      </c>
      <c r="H172" s="23" t="n">
        <v>133749000000</v>
      </c>
      <c r="I172" s="4" t="n">
        <v>17.95</v>
      </c>
      <c r="J172" s="23" t="n">
        <v>7453000000</v>
      </c>
      <c r="K172" s="23" t="n">
        <v>3051000000</v>
      </c>
      <c r="L172" s="23" t="n">
        <v>182935000000</v>
      </c>
      <c r="M172" s="23" t="n">
        <v>-115948000000</v>
      </c>
      <c r="N172" s="23" t="n">
        <v>66987000000</v>
      </c>
      <c r="O172" s="23" t="n">
        <v>12405000000</v>
      </c>
      <c r="P172" s="23" t="n">
        <v>128808300000</v>
      </c>
      <c r="Q172" s="23" t="n">
        <v>76843000000</v>
      </c>
      <c r="R172" s="23" t="n">
        <v>442387000000</v>
      </c>
      <c r="S172" s="4" t="n">
        <v>20.7233333333333</v>
      </c>
    </row>
    <row r="173" customFormat="false" ht="15" hidden="false" customHeight="false" outlineLevel="0" collapsed="false">
      <c r="A173" s="4" t="s">
        <v>235</v>
      </c>
      <c r="B173" s="4" t="n">
        <v>2025</v>
      </c>
      <c r="C173" s="4" t="s">
        <v>580</v>
      </c>
      <c r="D173" s="23" t="n">
        <v>281724000000</v>
      </c>
      <c r="E173" s="23" t="n">
        <v>193893000000</v>
      </c>
      <c r="F173" s="23" t="n">
        <v>128528000000</v>
      </c>
      <c r="G173" s="23" t="n">
        <v>160165000000</v>
      </c>
      <c r="H173" s="23" t="n">
        <v>101832000000</v>
      </c>
      <c r="I173" s="4" t="n">
        <v>13.64</v>
      </c>
      <c r="J173" s="23" t="n">
        <v>7465000000</v>
      </c>
      <c r="K173" s="23" t="n">
        <v>2385000000</v>
      </c>
      <c r="L173" s="23" t="n">
        <v>136162000000</v>
      </c>
      <c r="M173" s="23" t="n">
        <v>-64551000000</v>
      </c>
      <c r="N173" s="23" t="n">
        <v>71611000000</v>
      </c>
      <c r="O173" s="23" t="n">
        <v>11974000000</v>
      </c>
      <c r="P173" s="23" t="n">
        <v>112184000000</v>
      </c>
      <c r="Q173" s="23" t="n">
        <v>94555000000</v>
      </c>
      <c r="R173" s="23" t="n">
        <v>343479000000</v>
      </c>
      <c r="S173" s="4" t="n">
        <v>36.307299270073</v>
      </c>
    </row>
    <row r="174" customFormat="false" ht="15" hidden="false" customHeight="false" outlineLevel="0" collapsed="false">
      <c r="A174" s="4" t="s">
        <v>235</v>
      </c>
      <c r="B174" s="4" t="n">
        <v>2024</v>
      </c>
      <c r="C174" s="4" t="s">
        <v>581</v>
      </c>
      <c r="D174" s="23" t="n">
        <v>245122000000</v>
      </c>
      <c r="E174" s="23" t="n">
        <v>171008000000</v>
      </c>
      <c r="F174" s="23" t="n">
        <v>109433000000</v>
      </c>
      <c r="G174" s="23" t="n">
        <v>133009000000</v>
      </c>
      <c r="H174" s="23" t="n">
        <v>88136000000</v>
      </c>
      <c r="I174" s="4" t="n">
        <v>11.8</v>
      </c>
      <c r="J174" s="23" t="n">
        <v>7469000000</v>
      </c>
      <c r="K174" s="23" t="n">
        <v>2935000000</v>
      </c>
      <c r="L174" s="23" t="n">
        <v>118548000000</v>
      </c>
      <c r="M174" s="23" t="n">
        <v>-44477000000</v>
      </c>
      <c r="N174" s="23" t="n">
        <v>74071000000</v>
      </c>
      <c r="O174" s="23" t="n">
        <v>10734000000</v>
      </c>
      <c r="P174" s="23" t="n">
        <v>97852000000</v>
      </c>
      <c r="Q174" s="23" t="n">
        <v>75531000000</v>
      </c>
      <c r="R174" s="23" t="n">
        <v>268477000000</v>
      </c>
      <c r="S174" s="4" t="n">
        <v>38.5101180438449</v>
      </c>
    </row>
    <row r="175" customFormat="false" ht="15" hidden="false" customHeight="false" outlineLevel="0" collapsed="false">
      <c r="A175" s="4" t="s">
        <v>235</v>
      </c>
      <c r="B175" s="4" t="n">
        <v>2023</v>
      </c>
      <c r="C175" s="4" t="s">
        <v>582</v>
      </c>
      <c r="D175" s="23" t="n">
        <v>211915000000</v>
      </c>
      <c r="E175" s="23" t="n">
        <v>146052000000</v>
      </c>
      <c r="F175" s="23" t="n">
        <v>88523000000</v>
      </c>
      <c r="G175" s="23" t="n">
        <v>105140000000</v>
      </c>
      <c r="H175" s="23" t="n">
        <v>72361000000</v>
      </c>
      <c r="I175" s="4" t="n">
        <v>9.68</v>
      </c>
      <c r="J175" s="23" t="n">
        <v>7472000000</v>
      </c>
      <c r="K175" s="23" t="n">
        <v>1968000000</v>
      </c>
      <c r="L175" s="23" t="n">
        <v>87582000000</v>
      </c>
      <c r="M175" s="23" t="n">
        <v>-28107000000</v>
      </c>
      <c r="N175" s="23" t="n">
        <v>59475000000</v>
      </c>
      <c r="O175" s="23" t="n">
        <v>9611000000</v>
      </c>
      <c r="P175" s="23" t="n">
        <v>79441000000</v>
      </c>
      <c r="Q175" s="23" t="n">
        <v>111256000000</v>
      </c>
      <c r="R175" s="23" t="n">
        <v>206223000000</v>
      </c>
      <c r="S175" s="4" t="n">
        <v>35.0349794238683</v>
      </c>
    </row>
    <row r="176" customFormat="false" ht="15" hidden="false" customHeight="false" outlineLevel="0" collapsed="false">
      <c r="A176" s="4" t="s">
        <v>235</v>
      </c>
      <c r="B176" s="4" t="n">
        <v>2022</v>
      </c>
      <c r="C176" s="4" t="s">
        <v>583</v>
      </c>
      <c r="D176" s="23" t="n">
        <v>198270000000</v>
      </c>
      <c r="E176" s="23" t="n">
        <v>135620000000</v>
      </c>
      <c r="F176" s="23" t="n">
        <v>83383000000</v>
      </c>
      <c r="G176" s="23" t="n">
        <v>100239000000</v>
      </c>
      <c r="H176" s="23" t="n">
        <v>72738000000</v>
      </c>
      <c r="I176" s="4" t="n">
        <v>9.65</v>
      </c>
      <c r="J176" s="23" t="n">
        <v>7540000000</v>
      </c>
      <c r="K176" s="23" t="n">
        <v>2063000000</v>
      </c>
      <c r="L176" s="23" t="n">
        <v>89035000000</v>
      </c>
      <c r="M176" s="23" t="n">
        <v>-23886000000</v>
      </c>
      <c r="N176" s="23" t="n">
        <v>65149000000</v>
      </c>
      <c r="O176" s="23" t="n">
        <v>7502000000</v>
      </c>
      <c r="P176" s="23" t="n">
        <v>78400000000</v>
      </c>
      <c r="Q176" s="23" t="n">
        <v>104749000000</v>
      </c>
      <c r="R176" s="23" t="n">
        <v>166542000000</v>
      </c>
      <c r="S176" s="4" t="n">
        <v>26.4773195876289</v>
      </c>
    </row>
    <row r="177" customFormat="false" ht="15" hidden="false" customHeight="false" outlineLevel="0" collapsed="false">
      <c r="A177" s="4" t="s">
        <v>238</v>
      </c>
      <c r="B177" s="4" t="n">
        <v>2026</v>
      </c>
      <c r="C177" s="4" t="s">
        <v>240</v>
      </c>
      <c r="D177" s="23" t="n">
        <v>133188000000</v>
      </c>
      <c r="E177" s="23" t="n">
        <v>107504000000</v>
      </c>
      <c r="F177" s="23" t="n">
        <v>99907000000</v>
      </c>
      <c r="G177" s="23" t="n">
        <v>109410000000</v>
      </c>
      <c r="H177" s="23" t="n">
        <v>84969000000</v>
      </c>
      <c r="I177" s="4" t="n">
        <v>74.33</v>
      </c>
      <c r="J177" s="23" t="n">
        <v>1143000000</v>
      </c>
      <c r="K177" s="23" t="n">
        <v>106000000</v>
      </c>
      <c r="L177" s="23" t="n">
        <v>89675000000</v>
      </c>
      <c r="M177" s="23" t="n">
        <v>-30712000000</v>
      </c>
      <c r="N177" s="23" t="n">
        <v>58963000000</v>
      </c>
      <c r="O177" s="23" t="n">
        <v>1333000000</v>
      </c>
      <c r="P177" s="23" t="n">
        <v>5179000000</v>
      </c>
      <c r="Q177" s="23" t="n">
        <v>43434000000</v>
      </c>
      <c r="R177" s="23" t="n">
        <v>138378000000</v>
      </c>
      <c r="S177" s="4" t="n">
        <v>12.7110639426904</v>
      </c>
    </row>
    <row r="178" customFormat="false" ht="15" hidden="false" customHeight="false" outlineLevel="0" collapsed="false">
      <c r="A178" s="4" t="s">
        <v>238</v>
      </c>
      <c r="B178" s="4" t="n">
        <v>2025</v>
      </c>
      <c r="C178" s="4" t="s">
        <v>602</v>
      </c>
      <c r="D178" s="23" t="n">
        <v>37378000000</v>
      </c>
      <c r="E178" s="23" t="n">
        <v>14873000000</v>
      </c>
      <c r="F178" s="23" t="n">
        <v>9870000000</v>
      </c>
      <c r="G178" s="23" t="n">
        <v>18492000000</v>
      </c>
      <c r="H178" s="23" t="n">
        <v>8539000000</v>
      </c>
      <c r="I178" s="4" t="n">
        <v>7.59</v>
      </c>
      <c r="J178" s="23" t="n">
        <v>1125000000</v>
      </c>
      <c r="K178" s="23" t="n">
        <v>477000000</v>
      </c>
      <c r="L178" s="23" t="n">
        <v>17525000000</v>
      </c>
      <c r="M178" s="23" t="n">
        <v>-15857000000</v>
      </c>
      <c r="N178" s="23" t="n">
        <v>1668000000</v>
      </c>
      <c r="O178" s="23" t="n">
        <v>972000000</v>
      </c>
      <c r="P178" s="23" t="n">
        <v>15278000000</v>
      </c>
      <c r="Q178" s="23" t="n">
        <v>10307000000</v>
      </c>
      <c r="R178" s="23" t="n">
        <v>54165000000</v>
      </c>
      <c r="S178" s="4" t="n">
        <v>15.9477124183007</v>
      </c>
    </row>
    <row r="179" customFormat="false" ht="15" hidden="false" customHeight="false" outlineLevel="0" collapsed="false">
      <c r="A179" s="4" t="s">
        <v>238</v>
      </c>
      <c r="B179" s="4" t="n">
        <v>2024</v>
      </c>
      <c r="C179" s="4" t="s">
        <v>603</v>
      </c>
      <c r="D179" s="23" t="n">
        <v>25111000000</v>
      </c>
      <c r="E179" s="23" t="n">
        <v>5613000000</v>
      </c>
      <c r="F179" s="23" t="n">
        <v>1304000000</v>
      </c>
      <c r="G179" s="23" t="n">
        <v>9026000000</v>
      </c>
      <c r="H179" s="23" t="n">
        <v>778000000</v>
      </c>
      <c r="I179" s="4" t="n">
        <v>0.7</v>
      </c>
      <c r="J179" s="23" t="n">
        <v>1118000000</v>
      </c>
      <c r="K179" s="23" t="n">
        <v>562000000</v>
      </c>
      <c r="L179" s="23" t="n">
        <v>8507000000</v>
      </c>
      <c r="M179" s="23" t="n">
        <v>-8386000000</v>
      </c>
      <c r="N179" s="23" t="n">
        <v>121000000</v>
      </c>
      <c r="O179" s="23" t="n">
        <v>833000000</v>
      </c>
      <c r="P179" s="23" t="n">
        <v>14007000000</v>
      </c>
      <c r="Q179" s="23" t="n">
        <v>8106000000</v>
      </c>
      <c r="R179" s="23" t="n">
        <v>45131000000</v>
      </c>
      <c r="S179" s="4" t="n">
        <v>136.528571428571</v>
      </c>
    </row>
    <row r="180" customFormat="false" ht="15" hidden="false" customHeight="false" outlineLevel="0" collapsed="false">
      <c r="A180" s="4" t="s">
        <v>238</v>
      </c>
      <c r="B180" s="4" t="n">
        <v>2023</v>
      </c>
      <c r="C180" s="4" t="s">
        <v>604</v>
      </c>
      <c r="D180" s="23" t="n">
        <v>15540000000</v>
      </c>
      <c r="E180" s="23" t="n">
        <v>-1416000000</v>
      </c>
      <c r="F180" s="23" t="n">
        <v>-5745000000</v>
      </c>
      <c r="G180" s="23" t="n">
        <v>2297000000</v>
      </c>
      <c r="H180" s="23" t="n">
        <v>-5833000000</v>
      </c>
      <c r="I180" s="4" t="n">
        <v>-5.34</v>
      </c>
      <c r="J180" s="23" t="n">
        <v>1093000000</v>
      </c>
      <c r="K180" s="23" t="n">
        <v>388000000</v>
      </c>
      <c r="L180" s="23" t="n">
        <v>1559000000</v>
      </c>
      <c r="M180" s="23" t="n">
        <v>-7676000000</v>
      </c>
      <c r="N180" s="23" t="n">
        <v>-6117000000</v>
      </c>
      <c r="O180" s="23" t="n">
        <v>596000000</v>
      </c>
      <c r="P180" s="23" t="n">
        <v>13933000000</v>
      </c>
      <c r="Q180" s="23" t="n">
        <v>9594000000</v>
      </c>
      <c r="R180" s="23" t="n">
        <v>44120000000</v>
      </c>
      <c r="S180" s="4" t="n">
        <v>-13.0973782771536</v>
      </c>
    </row>
    <row r="181" customFormat="false" ht="15" hidden="false" customHeight="false" outlineLevel="0" collapsed="false">
      <c r="A181" s="4" t="s">
        <v>238</v>
      </c>
      <c r="B181" s="4" t="n">
        <v>2022</v>
      </c>
      <c r="C181" s="4" t="s">
        <v>605</v>
      </c>
      <c r="D181" s="23" t="n">
        <v>30758000000</v>
      </c>
      <c r="E181" s="23" t="n">
        <v>13898000000</v>
      </c>
      <c r="F181" s="23" t="n">
        <v>9702000000</v>
      </c>
      <c r="G181" s="23" t="n">
        <v>16825000000</v>
      </c>
      <c r="H181" s="23" t="n">
        <v>8687000000</v>
      </c>
      <c r="I181" s="4" t="n">
        <v>7.74</v>
      </c>
      <c r="J181" s="23" t="n">
        <v>1122000000</v>
      </c>
      <c r="K181" s="23" t="n">
        <v>189000000</v>
      </c>
      <c r="L181" s="23" t="n">
        <v>15181000000</v>
      </c>
      <c r="M181" s="23" t="n">
        <v>-12067000000</v>
      </c>
      <c r="N181" s="23" t="n">
        <v>3114000000</v>
      </c>
      <c r="O181" s="23" t="n">
        <v>514000000</v>
      </c>
      <c r="P181" s="23" t="n">
        <v>7516000000</v>
      </c>
      <c r="Q181" s="23" t="n">
        <v>9331000000</v>
      </c>
      <c r="R181" s="23" t="n">
        <v>49907000000</v>
      </c>
      <c r="S181" s="4" t="n">
        <v>7.33802816901409</v>
      </c>
    </row>
    <row r="182" customFormat="false" ht="15" hidden="false" customHeight="false" outlineLevel="0" collapsed="false">
      <c r="A182" s="4" t="s">
        <v>242</v>
      </c>
      <c r="B182" s="4" t="n">
        <v>2025</v>
      </c>
      <c r="C182" s="4" t="s">
        <v>103</v>
      </c>
      <c r="D182" s="23" t="n">
        <v>45183036000</v>
      </c>
      <c r="E182" s="23" t="n">
        <v>21907707000</v>
      </c>
      <c r="F182" s="23" t="n">
        <v>13326603000</v>
      </c>
      <c r="G182" s="23" t="n">
        <v>30254617000</v>
      </c>
      <c r="H182" s="23" t="n">
        <v>10981201000</v>
      </c>
      <c r="I182" s="4" t="n">
        <v>2.53</v>
      </c>
      <c r="J182" s="23" t="n">
        <v>4317144000</v>
      </c>
      <c r="K182" s="23" t="n">
        <v>776510000</v>
      </c>
      <c r="L182" s="23" t="n">
        <v>10149273000</v>
      </c>
      <c r="M182" s="23" t="n">
        <v>-688220000</v>
      </c>
      <c r="N182" s="23" t="n">
        <v>9461053000</v>
      </c>
      <c r="O182" s="23" t="n">
        <v>368449000</v>
      </c>
      <c r="P182" s="23" t="n">
        <v>14462836000</v>
      </c>
      <c r="Q182" s="23" t="n">
        <v>9062359000</v>
      </c>
      <c r="R182" s="23" t="n">
        <v>26615488000</v>
      </c>
      <c r="S182" s="4" t="n">
        <v>36.3410852713178</v>
      </c>
    </row>
    <row r="183" customFormat="false" ht="15" hidden="false" customHeight="false" outlineLevel="0" collapsed="false">
      <c r="A183" s="4" t="s">
        <v>242</v>
      </c>
      <c r="B183" s="4" t="n">
        <v>2024</v>
      </c>
      <c r="C183" s="4" t="s">
        <v>572</v>
      </c>
      <c r="D183" s="23" t="n">
        <v>39000966000</v>
      </c>
      <c r="E183" s="23" t="n">
        <v>17962502000</v>
      </c>
      <c r="F183" s="23" t="n">
        <v>10417614000</v>
      </c>
      <c r="G183" s="23" t="n">
        <v>26314821000</v>
      </c>
      <c r="H183" s="23" t="n">
        <v>8711631000</v>
      </c>
      <c r="I183" s="4" t="n">
        <v>1.98</v>
      </c>
      <c r="J183" s="23" t="n">
        <v>4392610000</v>
      </c>
      <c r="K183" s="23" t="n">
        <v>718733000</v>
      </c>
      <c r="L183" s="23" t="n">
        <v>7361364000</v>
      </c>
      <c r="M183" s="23" t="n">
        <v>-439538000</v>
      </c>
      <c r="N183" s="23" t="n">
        <v>6921826000</v>
      </c>
      <c r="O183" s="23" t="n">
        <v>272588000</v>
      </c>
      <c r="P183" s="23" t="n">
        <v>17994974000</v>
      </c>
      <c r="Q183" s="23" t="n">
        <v>9583739000</v>
      </c>
      <c r="R183" s="23" t="n">
        <v>24743567000</v>
      </c>
      <c r="S183" s="4" t="n">
        <v>43.9064039408867</v>
      </c>
    </row>
    <row r="184" customFormat="false" ht="15" hidden="false" customHeight="false" outlineLevel="0" collapsed="false">
      <c r="A184" s="4" t="s">
        <v>242</v>
      </c>
      <c r="B184" s="4" t="n">
        <v>2023</v>
      </c>
      <c r="C184" s="4" t="s">
        <v>573</v>
      </c>
      <c r="D184" s="23" t="n">
        <v>33723297000</v>
      </c>
      <c r="E184" s="23" t="n">
        <v>14007929000</v>
      </c>
      <c r="F184" s="23" t="n">
        <v>6954003000</v>
      </c>
      <c r="G184" s="23" t="n">
        <v>21508387000</v>
      </c>
      <c r="H184" s="23" t="n">
        <v>5407990000</v>
      </c>
      <c r="I184" s="4" t="n">
        <v>1.2</v>
      </c>
      <c r="J184" s="23" t="n">
        <v>4494980000</v>
      </c>
      <c r="K184" s="23" t="n">
        <v>748598000</v>
      </c>
      <c r="L184" s="23" t="n">
        <v>7274301000</v>
      </c>
      <c r="M184" s="23" t="n">
        <v>-348552000</v>
      </c>
      <c r="N184" s="23" t="n">
        <v>6925749000</v>
      </c>
      <c r="O184" s="23" t="n">
        <v>339368000</v>
      </c>
      <c r="P184" s="23" t="n">
        <v>16973374000</v>
      </c>
      <c r="Q184" s="23" t="n">
        <v>7137886000</v>
      </c>
      <c r="R184" s="23" t="n">
        <v>20588313000</v>
      </c>
      <c r="S184" s="4" t="n">
        <v>39.5853658536585</v>
      </c>
    </row>
    <row r="185" customFormat="false" ht="15" hidden="false" customHeight="false" outlineLevel="0" collapsed="false">
      <c r="A185" s="4" t="s">
        <v>242</v>
      </c>
      <c r="B185" s="4" t="n">
        <v>2022</v>
      </c>
      <c r="C185" s="4" t="s">
        <v>574</v>
      </c>
      <c r="D185" s="23" t="n">
        <v>31615550000</v>
      </c>
      <c r="E185" s="23" t="n">
        <v>12447265000</v>
      </c>
      <c r="F185" s="23" t="n">
        <v>5632831000</v>
      </c>
      <c r="G185" s="23" t="n">
        <v>20332955000</v>
      </c>
      <c r="H185" s="23" t="n">
        <v>4491924000</v>
      </c>
      <c r="I185" s="4" t="n">
        <v>1</v>
      </c>
      <c r="J185" s="23" t="n">
        <v>4512900000</v>
      </c>
      <c r="K185" s="23" t="n">
        <v>706212000</v>
      </c>
      <c r="L185" s="23" t="n">
        <v>2026257000</v>
      </c>
      <c r="M185" s="23" t="n">
        <v>-407729000</v>
      </c>
      <c r="N185" s="23" t="n">
        <v>1618528000</v>
      </c>
      <c r="O185" s="23" t="n">
        <v>575452000</v>
      </c>
      <c r="P185" s="23" t="n">
        <v>14353076000</v>
      </c>
      <c r="Q185" s="23" t="n">
        <v>6058452000</v>
      </c>
      <c r="R185" s="23" t="n">
        <v>20777401000</v>
      </c>
      <c r="S185" s="4" t="n">
        <v>29.1980198019802</v>
      </c>
    </row>
    <row r="186" customFormat="false" ht="15" hidden="false" customHeight="false" outlineLevel="0" collapsed="false">
      <c r="A186" s="4" t="s">
        <v>242</v>
      </c>
      <c r="B186" s="4" t="n">
        <v>2021</v>
      </c>
      <c r="C186" s="4" t="s">
        <v>575</v>
      </c>
      <c r="D186" s="23" t="n">
        <v>29697844000</v>
      </c>
      <c r="E186" s="23" t="n">
        <v>12365161000</v>
      </c>
      <c r="F186" s="23" t="n">
        <v>6194509000</v>
      </c>
      <c r="G186" s="23" t="n">
        <v>19044502000</v>
      </c>
      <c r="H186" s="23" t="n">
        <v>5116228000</v>
      </c>
      <c r="I186" s="4" t="n">
        <v>1.12</v>
      </c>
      <c r="J186" s="23" t="n">
        <v>4553720000</v>
      </c>
      <c r="K186" s="23" t="n">
        <v>765620000</v>
      </c>
      <c r="L186" s="23" t="n">
        <v>392610000</v>
      </c>
      <c r="M186" s="23" t="n">
        <v>-524585000</v>
      </c>
      <c r="N186" s="23" t="n">
        <v>-131975000</v>
      </c>
      <c r="O186" s="23" t="n">
        <v>403220000</v>
      </c>
      <c r="P186" s="23" t="n">
        <v>18116570000</v>
      </c>
      <c r="Q186" s="23" t="n">
        <v>6027804000</v>
      </c>
      <c r="R186" s="23" t="n">
        <v>15849248000</v>
      </c>
      <c r="S186" s="4" t="n">
        <v>51.9310344827586</v>
      </c>
    </row>
    <row r="187" customFormat="false" ht="15" hidden="false" customHeight="false" outlineLevel="0" collapsed="false">
      <c r="A187" s="4" t="s">
        <v>246</v>
      </c>
      <c r="B187" s="4" t="n">
        <v>2025</v>
      </c>
      <c r="C187" s="4" t="s">
        <v>103</v>
      </c>
      <c r="D187" s="23" t="n">
        <v>13278000000</v>
      </c>
      <c r="E187" s="23" t="n">
        <v>10295000000</v>
      </c>
      <c r="F187" s="23" t="n">
        <v>1824000000</v>
      </c>
      <c r="G187" s="23" t="n">
        <v>2999000000</v>
      </c>
      <c r="H187" s="23" t="n">
        <v>1748000000</v>
      </c>
      <c r="I187" s="4" t="n">
        <v>1.67</v>
      </c>
      <c r="J187" s="23" t="n">
        <v>1047000000</v>
      </c>
      <c r="K187" s="23" t="n">
        <v>23000000</v>
      </c>
      <c r="L187" s="23" t="n">
        <v>5444000000</v>
      </c>
      <c r="M187" s="23" t="n">
        <v>-868000000</v>
      </c>
      <c r="N187" s="23" t="n">
        <v>4576000000</v>
      </c>
      <c r="O187" s="23" t="n">
        <v>1955000000</v>
      </c>
      <c r="P187" s="23" t="n">
        <v>2403000000</v>
      </c>
      <c r="Q187" s="23" t="n">
        <v>6284000000</v>
      </c>
      <c r="R187" s="23" t="n">
        <v>12964000000</v>
      </c>
      <c r="S187" s="4" t="n">
        <v>90.6449704142012</v>
      </c>
    </row>
    <row r="188" customFormat="false" ht="15" hidden="false" customHeight="false" outlineLevel="0" collapsed="false">
      <c r="A188" s="4" t="s">
        <v>246</v>
      </c>
      <c r="B188" s="4" t="n">
        <v>2024</v>
      </c>
      <c r="C188" s="4" t="s">
        <v>572</v>
      </c>
      <c r="D188" s="23" t="n">
        <v>10984000000</v>
      </c>
      <c r="E188" s="23" t="n">
        <v>8697000000</v>
      </c>
      <c r="F188" s="23" t="n">
        <v>1364000000</v>
      </c>
      <c r="G188" s="23" t="n">
        <v>2325000000</v>
      </c>
      <c r="H188" s="23" t="n">
        <v>1425000000</v>
      </c>
      <c r="I188" s="4" t="n">
        <v>1.37</v>
      </c>
      <c r="J188" s="23" t="n">
        <v>1042115000</v>
      </c>
      <c r="K188" s="23" t="n">
        <v>23000000</v>
      </c>
      <c r="L188" s="23" t="n">
        <v>4267000000</v>
      </c>
      <c r="M188" s="23" t="n">
        <v>-852000000</v>
      </c>
      <c r="N188" s="23" t="n">
        <v>3415000000</v>
      </c>
      <c r="O188" s="23" t="n">
        <v>1746000000</v>
      </c>
      <c r="P188" s="23" t="n">
        <v>2278000000</v>
      </c>
      <c r="Q188" s="23" t="n">
        <v>5762000000</v>
      </c>
      <c r="R188" s="23" t="n">
        <v>9609000000</v>
      </c>
      <c r="S188" s="4" t="n">
        <v>153.63768115942</v>
      </c>
    </row>
    <row r="189" customFormat="false" ht="15" hidden="false" customHeight="false" outlineLevel="0" collapsed="false">
      <c r="A189" s="4" t="s">
        <v>246</v>
      </c>
      <c r="B189" s="4" t="n">
        <v>2023</v>
      </c>
      <c r="C189" s="4" t="s">
        <v>573</v>
      </c>
      <c r="D189" s="23" t="n">
        <v>8971000000</v>
      </c>
      <c r="E189" s="23" t="n">
        <v>7050000000</v>
      </c>
      <c r="F189" s="23" t="n">
        <v>762000000</v>
      </c>
      <c r="G189" s="23" t="n">
        <v>1594000000</v>
      </c>
      <c r="H189" s="23" t="n">
        <v>1731000000</v>
      </c>
      <c r="I189" s="4" t="n">
        <v>1.68</v>
      </c>
      <c r="J189" s="23" t="n">
        <v>1027955000</v>
      </c>
      <c r="K189" s="23" t="n">
        <v>24000000</v>
      </c>
      <c r="L189" s="23" t="n">
        <v>3398000000</v>
      </c>
      <c r="M189" s="23" t="n">
        <v>-694000000</v>
      </c>
      <c r="N189" s="23" t="n">
        <v>2704000000</v>
      </c>
      <c r="O189" s="23" t="n">
        <v>1604000000</v>
      </c>
      <c r="P189" s="23" t="n">
        <v>2284000000</v>
      </c>
      <c r="Q189" s="23" t="n">
        <v>4877000000</v>
      </c>
      <c r="R189" s="23" t="n">
        <v>7628000000</v>
      </c>
      <c r="S189" s="4" t="n">
        <v>83.1176470588235</v>
      </c>
    </row>
    <row r="190" customFormat="false" ht="15" hidden="false" customHeight="false" outlineLevel="0" collapsed="false">
      <c r="A190" s="4" t="s">
        <v>246</v>
      </c>
      <c r="B190" s="4" t="n">
        <v>2022</v>
      </c>
      <c r="C190" s="4" t="s">
        <v>574</v>
      </c>
      <c r="D190" s="23" t="n">
        <v>7245000000</v>
      </c>
      <c r="E190" s="23" t="n">
        <v>5672000000</v>
      </c>
      <c r="F190" s="23" t="n">
        <v>355000000</v>
      </c>
      <c r="G190" s="23" t="n">
        <v>859000000</v>
      </c>
      <c r="H190" s="23" t="n">
        <v>325000000</v>
      </c>
      <c r="I190" s="4" t="n">
        <v>0.32</v>
      </c>
      <c r="J190" s="23" t="n">
        <v>1017675000</v>
      </c>
      <c r="K190" s="23" t="n">
        <v>27000000</v>
      </c>
      <c r="L190" s="23" t="n">
        <v>2723000000</v>
      </c>
      <c r="M190" s="23" t="n">
        <v>-550000000</v>
      </c>
      <c r="N190" s="23" t="n">
        <v>2173000000</v>
      </c>
      <c r="O190" s="23" t="n">
        <v>1401000000</v>
      </c>
      <c r="P190" s="23" t="n">
        <v>2232000000</v>
      </c>
      <c r="Q190" s="23" t="n">
        <v>4280000000</v>
      </c>
      <c r="R190" s="23" t="n">
        <v>5032000000</v>
      </c>
      <c r="S190" s="4" t="n">
        <v>242.65625</v>
      </c>
    </row>
    <row r="191" customFormat="false" ht="15" hidden="false" customHeight="false" outlineLevel="0" collapsed="false">
      <c r="A191" s="4" t="s">
        <v>246</v>
      </c>
      <c r="B191" s="4" t="n">
        <v>2021</v>
      </c>
      <c r="C191" s="4" t="s">
        <v>575</v>
      </c>
      <c r="D191" s="23" t="n">
        <v>5896000000</v>
      </c>
      <c r="E191" s="23" t="n">
        <v>4543000000</v>
      </c>
      <c r="F191" s="23" t="n">
        <v>257000000</v>
      </c>
      <c r="G191" s="23" t="n">
        <v>749000000</v>
      </c>
      <c r="H191" s="23" t="n">
        <v>230000000</v>
      </c>
      <c r="I191" s="4" t="n">
        <v>0.23</v>
      </c>
      <c r="J191" s="23" t="n">
        <v>1015835000</v>
      </c>
      <c r="K191" s="23" t="n">
        <v>28000000</v>
      </c>
      <c r="L191" s="23" t="n">
        <v>2191000000</v>
      </c>
      <c r="M191" s="23" t="n">
        <v>-399000000</v>
      </c>
      <c r="N191" s="23" t="n">
        <v>1792000000</v>
      </c>
      <c r="O191" s="23" t="n">
        <v>1131000000</v>
      </c>
      <c r="P191" s="23" t="n">
        <v>2214000000</v>
      </c>
      <c r="Q191" s="23" t="n">
        <v>3304000000</v>
      </c>
      <c r="R191" s="23" t="n">
        <v>3695000000</v>
      </c>
      <c r="S191" s="4" t="n">
        <v>564.434782608696</v>
      </c>
    </row>
    <row r="192" customFormat="false" ht="15" hidden="false" customHeight="false" outlineLevel="0" collapsed="false">
      <c r="A192" s="4" t="s">
        <v>250</v>
      </c>
      <c r="B192" s="4" t="n">
        <v>2026</v>
      </c>
      <c r="C192" s="4" t="s">
        <v>252</v>
      </c>
      <c r="D192" s="23" t="n">
        <v>215938000000</v>
      </c>
      <c r="E192" s="23" t="n">
        <v>153463000000</v>
      </c>
      <c r="F192" s="23" t="n">
        <v>130387000000</v>
      </c>
      <c r="G192" s="23" t="n">
        <v>144552000000</v>
      </c>
      <c r="H192" s="23" t="n">
        <v>120067000000</v>
      </c>
      <c r="I192" s="4" t="n">
        <v>4.9</v>
      </c>
      <c r="J192" s="23" t="n">
        <v>24514000000</v>
      </c>
      <c r="K192" s="23" t="n">
        <v>259000000</v>
      </c>
      <c r="L192" s="23" t="n">
        <v>102718000000</v>
      </c>
      <c r="M192" s="23" t="n">
        <v>-6042000000</v>
      </c>
      <c r="N192" s="23" t="n">
        <v>96676000000</v>
      </c>
      <c r="O192" s="23" t="n">
        <v>6386000000</v>
      </c>
      <c r="P192" s="23" t="n">
        <v>11412000000</v>
      </c>
      <c r="Q192" s="23" t="n">
        <v>62556000000</v>
      </c>
      <c r="R192" s="23" t="n">
        <v>157293000000</v>
      </c>
      <c r="S192" s="4" t="n">
        <v>37.8235294117647</v>
      </c>
    </row>
    <row r="193" customFormat="false" ht="15" hidden="false" customHeight="false" outlineLevel="0" collapsed="false">
      <c r="A193" s="4" t="s">
        <v>250</v>
      </c>
      <c r="B193" s="4" t="n">
        <v>2025</v>
      </c>
      <c r="C193" s="4" t="s">
        <v>606</v>
      </c>
      <c r="D193" s="23" t="n">
        <v>130497000000</v>
      </c>
      <c r="E193" s="23" t="n">
        <v>97858000000</v>
      </c>
      <c r="F193" s="23" t="n">
        <v>81453000000</v>
      </c>
      <c r="G193" s="23" t="n">
        <v>86137000000</v>
      </c>
      <c r="H193" s="23" t="n">
        <v>72880000000</v>
      </c>
      <c r="I193" s="4" t="n">
        <v>2.94</v>
      </c>
      <c r="J193" s="23" t="n">
        <v>24804000000</v>
      </c>
      <c r="K193" s="23" t="n">
        <v>247000000</v>
      </c>
      <c r="L193" s="23" t="n">
        <v>64089000000</v>
      </c>
      <c r="M193" s="23" t="n">
        <v>-3236000000</v>
      </c>
      <c r="N193" s="23" t="n">
        <v>60853000000</v>
      </c>
      <c r="O193" s="23" t="n">
        <v>4737000000</v>
      </c>
      <c r="P193" s="23" t="n">
        <v>10270000000</v>
      </c>
      <c r="Q193" s="23" t="n">
        <v>43210000000</v>
      </c>
      <c r="R193" s="23" t="n">
        <v>79327000000</v>
      </c>
      <c r="S193" s="4" t="n">
        <v>39.8720538720539</v>
      </c>
    </row>
    <row r="194" customFormat="false" ht="15" hidden="false" customHeight="false" outlineLevel="0" collapsed="false">
      <c r="A194" s="4" t="s">
        <v>250</v>
      </c>
      <c r="B194" s="4" t="n">
        <v>2024</v>
      </c>
      <c r="C194" s="4" t="s">
        <v>607</v>
      </c>
      <c r="D194" s="23" t="n">
        <v>60922000000</v>
      </c>
      <c r="E194" s="23" t="n">
        <v>44301000000</v>
      </c>
      <c r="F194" s="23" t="n">
        <v>32972000000</v>
      </c>
      <c r="G194" s="23" t="n">
        <v>35583000000</v>
      </c>
      <c r="H194" s="23" t="n">
        <v>29760000000</v>
      </c>
      <c r="I194" s="4" t="n">
        <v>1.19</v>
      </c>
      <c r="J194" s="23" t="n">
        <v>24940000000</v>
      </c>
      <c r="K194" s="23" t="n">
        <v>257000000</v>
      </c>
      <c r="L194" s="23" t="n">
        <v>28090000000</v>
      </c>
      <c r="M194" s="23" t="n">
        <v>-1069000000</v>
      </c>
      <c r="N194" s="23" t="n">
        <v>27021000000</v>
      </c>
      <c r="O194" s="23" t="n">
        <v>3549000000</v>
      </c>
      <c r="P194" s="23" t="n">
        <v>11056000000</v>
      </c>
      <c r="Q194" s="23" t="n">
        <v>25984000000</v>
      </c>
      <c r="R194" s="23" t="n">
        <v>42978000000</v>
      </c>
      <c r="S194" s="4" t="n">
        <v>51.6280991735537</v>
      </c>
    </row>
    <row r="195" customFormat="false" ht="15" hidden="false" customHeight="false" outlineLevel="0" collapsed="false">
      <c r="A195" s="4" t="s">
        <v>250</v>
      </c>
      <c r="B195" s="4" t="n">
        <v>2023</v>
      </c>
      <c r="C195" s="4" t="s">
        <v>608</v>
      </c>
      <c r="D195" s="23" t="n">
        <v>26974000000</v>
      </c>
      <c r="E195" s="23" t="n">
        <v>15356000000</v>
      </c>
      <c r="F195" s="23" t="n">
        <v>4224000000</v>
      </c>
      <c r="G195" s="23" t="n">
        <v>5986000000</v>
      </c>
      <c r="H195" s="23" t="n">
        <v>4368000000</v>
      </c>
      <c r="I195" s="4" t="n">
        <v>0.17</v>
      </c>
      <c r="J195" s="23" t="n">
        <v>25070000000</v>
      </c>
      <c r="K195" s="23" t="n">
        <v>262000000</v>
      </c>
      <c r="L195" s="23" t="n">
        <v>5641000000</v>
      </c>
      <c r="M195" s="23" t="n">
        <v>-1833000000</v>
      </c>
      <c r="N195" s="23" t="n">
        <v>3808000000</v>
      </c>
      <c r="O195" s="23" t="n">
        <v>2709000000</v>
      </c>
      <c r="P195" s="23" t="n">
        <v>12031000000</v>
      </c>
      <c r="Q195" s="23" t="n">
        <v>13296000000</v>
      </c>
      <c r="R195" s="23" t="n">
        <v>22101000000</v>
      </c>
      <c r="S195" s="4" t="n">
        <v>106.444444444444</v>
      </c>
    </row>
    <row r="196" customFormat="false" ht="15" hidden="false" customHeight="false" outlineLevel="0" collapsed="false">
      <c r="A196" s="4" t="s">
        <v>250</v>
      </c>
      <c r="B196" s="4" t="n">
        <v>2022</v>
      </c>
      <c r="C196" s="4" t="s">
        <v>609</v>
      </c>
      <c r="D196" s="23" t="n">
        <v>26914000000</v>
      </c>
      <c r="E196" s="23" t="n">
        <v>17475000000</v>
      </c>
      <c r="F196" s="23" t="n">
        <v>10041000000</v>
      </c>
      <c r="G196" s="23" t="n">
        <v>11351000000</v>
      </c>
      <c r="H196" s="23" t="n">
        <v>9752000000</v>
      </c>
      <c r="I196" s="4" t="n">
        <v>0.38</v>
      </c>
      <c r="J196" s="23" t="n">
        <v>25350000000</v>
      </c>
      <c r="K196" s="23" t="n">
        <v>236000000</v>
      </c>
      <c r="L196" s="23" t="n">
        <v>9108000000</v>
      </c>
      <c r="M196" s="23" t="n">
        <v>-976000000</v>
      </c>
      <c r="N196" s="23" t="n">
        <v>8132000000</v>
      </c>
      <c r="O196" s="23" t="n">
        <v>2004000000</v>
      </c>
      <c r="P196" s="23" t="n">
        <v>11831000000</v>
      </c>
      <c r="Q196" s="23" t="n">
        <v>21208000000</v>
      </c>
      <c r="R196" s="23" t="n">
        <v>26612000000</v>
      </c>
      <c r="S196" s="4" t="n">
        <v>62.7948717948718</v>
      </c>
    </row>
    <row r="197" customFormat="false" ht="15" hidden="false" customHeight="false" outlineLevel="0" collapsed="false">
      <c r="A197" s="4" t="s">
        <v>254</v>
      </c>
      <c r="B197" s="4" t="n">
        <v>2025</v>
      </c>
      <c r="C197" s="4" t="s">
        <v>103</v>
      </c>
      <c r="D197" s="23" t="n">
        <v>87637000000</v>
      </c>
      <c r="E197" s="23" t="n">
        <v>25830000000</v>
      </c>
      <c r="F197" s="23" t="n">
        <v>14223000000</v>
      </c>
      <c r="G197" s="23" t="n">
        <v>14814000000</v>
      </c>
      <c r="H197" s="23" t="n">
        <v>11308000000</v>
      </c>
      <c r="I197" s="4" t="n">
        <v>19.23</v>
      </c>
      <c r="J197" s="23" t="n">
        <v>588200000</v>
      </c>
      <c r="K197" s="23" t="n">
        <v>278000000</v>
      </c>
      <c r="L197" s="23" t="n">
        <v>17548000000</v>
      </c>
      <c r="M197" s="23" t="n">
        <v>-348000000</v>
      </c>
      <c r="N197" s="23" t="n">
        <v>17200000000</v>
      </c>
      <c r="O197" s="23" t="n">
        <v>132000000</v>
      </c>
      <c r="P197" s="23" t="n">
        <v>6897000000</v>
      </c>
      <c r="Q197" s="23" t="n">
        <v>19836000000</v>
      </c>
      <c r="R197" s="23" t="n">
        <v>30323000000</v>
      </c>
      <c r="S197" s="4" t="n">
        <v>11.8050803525143</v>
      </c>
    </row>
    <row r="198" customFormat="false" ht="15" hidden="false" customHeight="false" outlineLevel="0" collapsed="false">
      <c r="A198" s="4" t="s">
        <v>254</v>
      </c>
      <c r="B198" s="4" t="n">
        <v>2024</v>
      </c>
      <c r="C198" s="4" t="s">
        <v>572</v>
      </c>
      <c r="D198" s="23" t="n">
        <v>75343000000</v>
      </c>
      <c r="E198" s="23" t="n">
        <v>20900000000</v>
      </c>
      <c r="F198" s="23" t="n">
        <v>10713000000</v>
      </c>
      <c r="G198" s="23" t="n">
        <v>11276000000</v>
      </c>
      <c r="H198" s="23" t="n">
        <v>8480000000</v>
      </c>
      <c r="I198" s="4" t="n">
        <v>14.4</v>
      </c>
      <c r="J198" s="23" t="n">
        <v>587700000</v>
      </c>
      <c r="K198" s="23" t="n">
        <v>279000000</v>
      </c>
      <c r="L198" s="23" t="n">
        <v>15119000000</v>
      </c>
      <c r="M198" s="23" t="n">
        <v>-285000000</v>
      </c>
      <c r="N198" s="23" t="n">
        <v>14834000000</v>
      </c>
      <c r="O198" s="23" t="n">
        <v>122000000</v>
      </c>
      <c r="P198" s="23" t="n">
        <v>6893000000</v>
      </c>
      <c r="Q198" s="23" t="n">
        <v>76090000000</v>
      </c>
      <c r="R198" s="23" t="n">
        <v>25591000000</v>
      </c>
      <c r="S198" s="4" t="n">
        <v>16.5820069204152</v>
      </c>
    </row>
    <row r="199" customFormat="false" ht="15" hidden="false" customHeight="false" outlineLevel="0" collapsed="false">
      <c r="A199" s="4" t="s">
        <v>254</v>
      </c>
      <c r="B199" s="4" t="n">
        <v>2023</v>
      </c>
      <c r="C199" s="4" t="s">
        <v>573</v>
      </c>
      <c r="D199" s="23" t="n">
        <v>62083000000</v>
      </c>
      <c r="E199" s="23" t="n">
        <v>11763000000</v>
      </c>
      <c r="F199" s="23" t="n">
        <v>4904000000</v>
      </c>
      <c r="G199" s="23" t="n">
        <v>5457000000</v>
      </c>
      <c r="H199" s="23" t="n">
        <v>3903000000</v>
      </c>
      <c r="I199" s="4" t="n">
        <v>6.58</v>
      </c>
      <c r="J199" s="23" t="n">
        <v>587500000</v>
      </c>
      <c r="K199" s="23" t="n">
        <v>268000000</v>
      </c>
      <c r="L199" s="23" t="n">
        <v>10643300000</v>
      </c>
      <c r="M199" s="23" t="n">
        <v>-252000000</v>
      </c>
      <c r="N199" s="23" t="n">
        <v>10391300000</v>
      </c>
      <c r="O199" s="23" t="n">
        <v>121300000</v>
      </c>
      <c r="P199" s="23" t="n">
        <v>6889000000</v>
      </c>
      <c r="Q199" s="23" t="n">
        <v>62253000000</v>
      </c>
      <c r="R199" s="23" t="n">
        <v>20277000000</v>
      </c>
      <c r="S199" s="4" t="n">
        <v>24.0968229954614</v>
      </c>
    </row>
    <row r="200" customFormat="false" ht="15" hidden="false" customHeight="false" outlineLevel="0" collapsed="false">
      <c r="A200" s="4" t="s">
        <v>254</v>
      </c>
      <c r="B200" s="4" t="n">
        <v>2022</v>
      </c>
      <c r="C200" s="4" t="s">
        <v>574</v>
      </c>
      <c r="D200" s="23" t="n">
        <v>49587000000</v>
      </c>
      <c r="E200" s="23" t="n">
        <v>7547000000</v>
      </c>
      <c r="F200" s="23" t="n">
        <v>922000000</v>
      </c>
      <c r="G200" s="23" t="n">
        <v>1472000000</v>
      </c>
      <c r="H200" s="23" t="n">
        <v>722000000</v>
      </c>
      <c r="I200" s="4" t="n">
        <v>1.18</v>
      </c>
      <c r="J200" s="23" t="n">
        <v>587100000</v>
      </c>
      <c r="K200" s="23" t="n">
        <v>244000000</v>
      </c>
      <c r="L200" s="23" t="n">
        <v>6848800000</v>
      </c>
      <c r="M200" s="23" t="n">
        <v>-292000000</v>
      </c>
      <c r="N200" s="23" t="n">
        <v>6556800000</v>
      </c>
      <c r="O200" s="23" t="n">
        <v>122700000</v>
      </c>
      <c r="P200" s="23" t="n">
        <v>6388300000</v>
      </c>
      <c r="Q200" s="23" t="n">
        <v>49717100000</v>
      </c>
      <c r="R200" s="23" t="n">
        <v>15891000000</v>
      </c>
      <c r="S200" s="4" t="n">
        <v>109</v>
      </c>
    </row>
    <row r="201" customFormat="false" ht="15" hidden="false" customHeight="false" outlineLevel="0" collapsed="false">
      <c r="A201" s="4" t="s">
        <v>254</v>
      </c>
      <c r="B201" s="4" t="n">
        <v>2021</v>
      </c>
      <c r="C201" s="4" t="s">
        <v>575</v>
      </c>
      <c r="D201" s="23" t="n">
        <v>47676500000</v>
      </c>
      <c r="E201" s="23" t="n">
        <v>10336100000</v>
      </c>
      <c r="F201" s="23" t="n">
        <v>4210000000</v>
      </c>
      <c r="G201" s="23" t="n">
        <v>4766000000</v>
      </c>
      <c r="H201" s="23" t="n">
        <v>3350900000</v>
      </c>
      <c r="I201" s="4" t="n">
        <v>5.66</v>
      </c>
      <c r="J201" s="23" t="n">
        <v>587100000</v>
      </c>
      <c r="K201" s="23" t="n">
        <v>218600000</v>
      </c>
      <c r="L201" s="23" t="n">
        <v>7761700000</v>
      </c>
      <c r="M201" s="23" t="n">
        <v>-243500000</v>
      </c>
      <c r="N201" s="23" t="n">
        <v>7518200000</v>
      </c>
      <c r="O201" s="23" t="n">
        <v>100700000</v>
      </c>
      <c r="P201" s="23" t="n">
        <v>4898800000</v>
      </c>
      <c r="Q201" s="23" t="n">
        <v>45002800000</v>
      </c>
      <c r="R201" s="23" t="n">
        <v>18231600000</v>
      </c>
      <c r="S201" s="4" t="n">
        <v>18.0404217926186</v>
      </c>
    </row>
    <row r="202" customFormat="false" ht="15" hidden="false" customHeight="false" outlineLevel="0" collapsed="false">
      <c r="A202" s="4" t="s">
        <v>257</v>
      </c>
      <c r="B202" s="4" t="n">
        <v>2025</v>
      </c>
      <c r="C202" s="4" t="s">
        <v>103</v>
      </c>
      <c r="D202" s="23" t="n">
        <v>40648000000</v>
      </c>
      <c r="E202" s="23" t="n">
        <v>27282000000</v>
      </c>
      <c r="F202" s="23" t="n">
        <v>14892000000</v>
      </c>
      <c r="G202" s="23" t="n">
        <v>18722000000</v>
      </c>
      <c r="H202" s="23" t="n">
        <v>11348000000</v>
      </c>
      <c r="I202" s="4" t="n">
        <v>7.26</v>
      </c>
      <c r="J202" s="23" t="n">
        <v>1558000000</v>
      </c>
      <c r="K202" s="23" t="n">
        <v>1587000000</v>
      </c>
      <c r="L202" s="23" t="n">
        <v>12233000000</v>
      </c>
      <c r="M202" s="23" t="n">
        <v>-1569000000</v>
      </c>
      <c r="N202" s="23" t="n">
        <v>10664000000</v>
      </c>
      <c r="O202" s="23" t="n">
        <v>0</v>
      </c>
      <c r="P202" s="23" t="n">
        <v>48835000000</v>
      </c>
      <c r="Q202" s="23" t="n">
        <v>4872000000</v>
      </c>
      <c r="R202" s="23" t="n">
        <v>-8028000000</v>
      </c>
      <c r="S202" s="4" t="n">
        <v>22.0632737276479</v>
      </c>
    </row>
    <row r="203" customFormat="false" ht="15" hidden="false" customHeight="false" outlineLevel="0" collapsed="false">
      <c r="A203" s="4" t="s">
        <v>257</v>
      </c>
      <c r="B203" s="4" t="n">
        <v>2024</v>
      </c>
      <c r="C203" s="4" t="s">
        <v>572</v>
      </c>
      <c r="D203" s="23" t="n">
        <v>37878000000</v>
      </c>
      <c r="E203" s="23" t="n">
        <v>24549000000</v>
      </c>
      <c r="F203" s="23" t="n">
        <v>13402000000</v>
      </c>
      <c r="G203" s="23" t="n">
        <v>15749000000</v>
      </c>
      <c r="H203" s="23" t="n">
        <v>7034000000</v>
      </c>
      <c r="I203" s="4" t="n">
        <v>4.52</v>
      </c>
      <c r="J203" s="23" t="n">
        <v>1556000000</v>
      </c>
      <c r="K203" s="23" t="n">
        <v>1763000000</v>
      </c>
      <c r="L203" s="23" t="n">
        <v>12217000000</v>
      </c>
      <c r="M203" s="23" t="n">
        <v>-1444000000</v>
      </c>
      <c r="N203" s="23" t="n">
        <v>10773000000</v>
      </c>
      <c r="O203" s="23" t="n">
        <v>0</v>
      </c>
      <c r="P203" s="23" t="n">
        <v>45695000000</v>
      </c>
      <c r="Q203" s="23" t="n">
        <v>4216000000</v>
      </c>
      <c r="R203" s="23" t="n">
        <v>-9870000000</v>
      </c>
      <c r="S203" s="4" t="n">
        <v>26.5673289183223</v>
      </c>
    </row>
    <row r="204" customFormat="false" ht="15" hidden="false" customHeight="false" outlineLevel="0" collapsed="false">
      <c r="A204" s="4" t="s">
        <v>257</v>
      </c>
      <c r="B204" s="4" t="n">
        <v>2023</v>
      </c>
      <c r="C204" s="4" t="s">
        <v>573</v>
      </c>
      <c r="D204" s="23" t="n">
        <v>35174000000</v>
      </c>
      <c r="E204" s="23" t="n">
        <v>22281000000</v>
      </c>
      <c r="F204" s="23" t="n">
        <v>11556000000</v>
      </c>
      <c r="G204" s="23" t="n">
        <v>13374000000</v>
      </c>
      <c r="H204" s="23" t="n">
        <v>7791000000</v>
      </c>
      <c r="I204" s="4" t="n">
        <v>5.02</v>
      </c>
      <c r="J204" s="23" t="n">
        <v>1553000000</v>
      </c>
      <c r="K204" s="23" t="n">
        <v>1526000000</v>
      </c>
      <c r="L204" s="23" t="n">
        <v>9204000000</v>
      </c>
      <c r="M204" s="23" t="n">
        <v>-1321000000</v>
      </c>
      <c r="N204" s="23" t="n">
        <v>7883000000</v>
      </c>
      <c r="O204" s="23" t="n">
        <v>0</v>
      </c>
      <c r="P204" s="23" t="n">
        <v>47909000000</v>
      </c>
      <c r="Q204" s="23" t="n">
        <v>3060000000</v>
      </c>
      <c r="R204" s="23" t="n">
        <v>-9446000000</v>
      </c>
      <c r="S204" s="4" t="n">
        <v>18.7410358565737</v>
      </c>
    </row>
    <row r="205" customFormat="false" ht="15" hidden="false" customHeight="false" outlineLevel="0" collapsed="false">
      <c r="A205" s="4" t="s">
        <v>257</v>
      </c>
      <c r="B205" s="4" t="n">
        <v>2022</v>
      </c>
      <c r="C205" s="4" t="s">
        <v>574</v>
      </c>
      <c r="D205" s="23" t="n">
        <v>31762000000</v>
      </c>
      <c r="E205" s="23" t="n">
        <v>20360000000</v>
      </c>
      <c r="F205" s="23" t="n">
        <v>12246000000</v>
      </c>
      <c r="G205" s="23" t="n">
        <v>13479000000</v>
      </c>
      <c r="H205" s="23" t="n">
        <v>9048000000</v>
      </c>
      <c r="I205" s="4" t="n">
        <v>5.81</v>
      </c>
      <c r="J205" s="23" t="n">
        <v>1552000000</v>
      </c>
      <c r="K205" s="23" t="n">
        <v>768000000</v>
      </c>
      <c r="L205" s="23" t="n">
        <v>10803000000</v>
      </c>
      <c r="M205" s="23" t="n">
        <v>-1077000000</v>
      </c>
      <c r="N205" s="23" t="n">
        <v>9726000000</v>
      </c>
      <c r="O205" s="23" t="n">
        <v>183000000</v>
      </c>
      <c r="P205" s="23" t="n">
        <v>43123000000</v>
      </c>
      <c r="Q205" s="23" t="n">
        <v>3207000000</v>
      </c>
      <c r="R205" s="23" t="n">
        <v>-6311000000</v>
      </c>
      <c r="S205" s="4" t="n">
        <v>17.3900343642612</v>
      </c>
    </row>
    <row r="206" customFormat="false" ht="15" hidden="false" customHeight="false" outlineLevel="0" collapsed="false">
      <c r="A206" s="4" t="s">
        <v>257</v>
      </c>
      <c r="B206" s="4" t="n">
        <v>2021</v>
      </c>
      <c r="C206" s="4" t="s">
        <v>575</v>
      </c>
      <c r="D206" s="23" t="n">
        <v>31405000000</v>
      </c>
      <c r="E206" s="23" t="n">
        <v>21375000000</v>
      </c>
      <c r="F206" s="23" t="n">
        <v>12972000000</v>
      </c>
      <c r="G206" s="23" t="n">
        <v>13967000000</v>
      </c>
      <c r="H206" s="23" t="n">
        <v>9109000000</v>
      </c>
      <c r="I206" s="4" t="n">
        <v>5.83</v>
      </c>
      <c r="J206" s="23" t="n">
        <v>1559000000</v>
      </c>
      <c r="K206" s="23" t="n">
        <v>737000000</v>
      </c>
      <c r="L206" s="23" t="n">
        <v>11967000000</v>
      </c>
      <c r="M206" s="23" t="n">
        <v>-748000000</v>
      </c>
      <c r="N206" s="23" t="n">
        <v>11219000000</v>
      </c>
      <c r="O206" s="23" t="n">
        <v>210000000</v>
      </c>
      <c r="P206" s="23" t="n">
        <v>27806000000</v>
      </c>
      <c r="Q206" s="23" t="n">
        <v>4496000000</v>
      </c>
      <c r="R206" s="23" t="n">
        <v>-8208000000</v>
      </c>
      <c r="S206" s="4" t="n">
        <v>16.295025728988</v>
      </c>
    </row>
    <row r="207" customFormat="false" ht="15" hidden="false" customHeight="false" outlineLevel="0" collapsed="false">
      <c r="A207" s="4" t="s">
        <v>261</v>
      </c>
      <c r="B207" s="4" t="n">
        <v>2025</v>
      </c>
      <c r="C207" s="4" t="s">
        <v>103</v>
      </c>
      <c r="D207" s="23" t="n">
        <v>27675000000</v>
      </c>
      <c r="E207" s="23" t="n">
        <v>23921000000</v>
      </c>
      <c r="F207" s="23" t="n">
        <v>11459000000</v>
      </c>
      <c r="G207" s="23" t="n">
        <v>12821000000</v>
      </c>
      <c r="H207" s="23" t="n">
        <v>8852000000</v>
      </c>
      <c r="I207" s="4" t="n">
        <v>4.66</v>
      </c>
      <c r="J207" s="23" t="n">
        <v>1777000000</v>
      </c>
      <c r="K207" s="23" t="n">
        <v>3754000000</v>
      </c>
      <c r="L207" s="23" t="n">
        <v>9311000000</v>
      </c>
      <c r="M207" s="23" t="n">
        <v>-548000000</v>
      </c>
      <c r="N207" s="23" t="n">
        <v>8763000000</v>
      </c>
      <c r="O207" s="23" t="n">
        <v>317000000</v>
      </c>
      <c r="P207" s="23" t="n">
        <v>30951000000</v>
      </c>
      <c r="Q207" s="23" t="n">
        <v>108106000000</v>
      </c>
      <c r="R207" s="23" t="n">
        <v>49425000000</v>
      </c>
      <c r="S207" s="4" t="n">
        <v>21.3482905982906</v>
      </c>
    </row>
    <row r="208" customFormat="false" ht="15" hidden="false" customHeight="false" outlineLevel="0" collapsed="false">
      <c r="A208" s="4" t="s">
        <v>261</v>
      </c>
      <c r="B208" s="4" t="n">
        <v>2024</v>
      </c>
      <c r="C208" s="4" t="s">
        <v>572</v>
      </c>
      <c r="D208" s="23" t="n">
        <v>25999000000</v>
      </c>
      <c r="E208" s="23" t="n">
        <v>19606000000</v>
      </c>
      <c r="F208" s="23" t="n">
        <v>7692000000</v>
      </c>
      <c r="G208" s="23" t="n">
        <v>9127000000</v>
      </c>
      <c r="H208" s="23" t="n">
        <v>5942000000</v>
      </c>
      <c r="I208" s="4" t="n">
        <v>2.99</v>
      </c>
      <c r="J208" s="23" t="n">
        <v>1834000000</v>
      </c>
      <c r="K208" s="23" t="n">
        <v>6393000000</v>
      </c>
      <c r="L208" s="23" t="n">
        <v>2670000000</v>
      </c>
      <c r="M208" s="23" t="n">
        <v>-620000000</v>
      </c>
      <c r="N208" s="23" t="n">
        <v>2050000000</v>
      </c>
      <c r="O208" s="23" t="n">
        <v>337000000</v>
      </c>
      <c r="P208" s="23" t="n">
        <v>45134000000</v>
      </c>
      <c r="Q208" s="23" t="n">
        <v>124699000000</v>
      </c>
      <c r="R208" s="23" t="n">
        <v>48375000000</v>
      </c>
      <c r="S208" s="4" t="n">
        <v>24.67</v>
      </c>
    </row>
    <row r="209" customFormat="false" ht="15" hidden="false" customHeight="false" outlineLevel="0" collapsed="false">
      <c r="A209" s="4" t="s">
        <v>261</v>
      </c>
      <c r="B209" s="4" t="n">
        <v>2023</v>
      </c>
      <c r="C209" s="4" t="s">
        <v>573</v>
      </c>
      <c r="D209" s="23" t="n">
        <v>25521000000</v>
      </c>
      <c r="E209" s="23" t="n">
        <v>18837000000</v>
      </c>
      <c r="F209" s="23" t="n">
        <v>6378000000</v>
      </c>
      <c r="G209" s="23" t="n">
        <v>7716000000</v>
      </c>
      <c r="H209" s="23" t="n">
        <v>5067000000</v>
      </c>
      <c r="I209" s="4" t="n">
        <v>2.54</v>
      </c>
      <c r="J209" s="23" t="n">
        <v>1831000000</v>
      </c>
      <c r="K209" s="23" t="n">
        <v>6684000000</v>
      </c>
      <c r="L209" s="23" t="n">
        <v>19587000000</v>
      </c>
      <c r="M209" s="23" t="n">
        <v>-700000000</v>
      </c>
      <c r="N209" s="23" t="n">
        <v>18887000000</v>
      </c>
      <c r="O209" s="23" t="n">
        <v>320000000</v>
      </c>
      <c r="P209" s="23" t="n">
        <v>59081000000</v>
      </c>
      <c r="Q209" s="23" t="n">
        <v>149250000000</v>
      </c>
      <c r="R209" s="23" t="n">
        <v>40958000000</v>
      </c>
      <c r="S209" s="4" t="n">
        <v>26.9803921568628</v>
      </c>
    </row>
    <row r="210" customFormat="false" ht="15" hidden="false" customHeight="false" outlineLevel="0" collapsed="false">
      <c r="A210" s="4" t="s">
        <v>261</v>
      </c>
      <c r="B210" s="4" t="n">
        <v>2022</v>
      </c>
      <c r="C210" s="4" t="s">
        <v>574</v>
      </c>
      <c r="D210" s="23" t="n">
        <v>22307000000</v>
      </c>
      <c r="E210" s="23" t="n">
        <v>20762000000</v>
      </c>
      <c r="F210" s="23" t="n">
        <v>9388000000</v>
      </c>
      <c r="G210" s="23" t="n">
        <v>10636000000</v>
      </c>
      <c r="H210" s="23" t="n">
        <v>7183000000</v>
      </c>
      <c r="I210" s="4" t="n">
        <v>3.5</v>
      </c>
      <c r="J210" s="23" t="n">
        <v>1894000000</v>
      </c>
      <c r="K210" s="23" t="n">
        <v>1545000000</v>
      </c>
      <c r="L210" s="23" t="n">
        <v>2057000000</v>
      </c>
      <c r="M210" s="23" t="n">
        <v>-971000000</v>
      </c>
      <c r="N210" s="23" t="n">
        <v>1086000000</v>
      </c>
      <c r="O210" s="23" t="n">
        <v>366000000</v>
      </c>
      <c r="P210" s="23" t="n">
        <v>37878000000</v>
      </c>
      <c r="Q210" s="23" t="n">
        <v>188025000000</v>
      </c>
      <c r="R210" s="23" t="n">
        <v>36608000000</v>
      </c>
      <c r="S210" s="4" t="n">
        <v>23.6534090909091</v>
      </c>
    </row>
    <row r="211" customFormat="false" ht="15" hidden="false" customHeight="false" outlineLevel="0" collapsed="false">
      <c r="A211" s="4" t="s">
        <v>261</v>
      </c>
      <c r="B211" s="4" t="n">
        <v>2021</v>
      </c>
      <c r="C211" s="4" t="s">
        <v>575</v>
      </c>
      <c r="D211" s="23" t="n">
        <v>18996000000</v>
      </c>
      <c r="E211" s="23" t="n">
        <v>18520000000</v>
      </c>
      <c r="F211" s="23" t="n">
        <v>7713000000</v>
      </c>
      <c r="G211" s="23" t="n">
        <v>8877000000</v>
      </c>
      <c r="H211" s="23" t="n">
        <v>5855000000</v>
      </c>
      <c r="I211" s="4" t="n">
        <v>2.83</v>
      </c>
      <c r="J211" s="23" t="n">
        <v>1897000000</v>
      </c>
      <c r="K211" s="23" t="n">
        <v>476000000</v>
      </c>
      <c r="L211" s="23" t="n">
        <v>2118000000</v>
      </c>
      <c r="M211" s="23" t="n">
        <v>-916000000</v>
      </c>
      <c r="N211" s="23" t="n">
        <v>1202000000</v>
      </c>
      <c r="O211" s="23" t="n">
        <v>254000000</v>
      </c>
      <c r="P211" s="23" t="n">
        <v>23769000000</v>
      </c>
      <c r="Q211" s="23" t="n">
        <v>453029000000</v>
      </c>
      <c r="R211" s="23" t="n">
        <v>56261000000</v>
      </c>
      <c r="S211" s="4" t="n">
        <v>29.612676056338</v>
      </c>
    </row>
    <row r="212" customFormat="false" ht="15" hidden="false" customHeight="false" outlineLevel="0" collapsed="false">
      <c r="A212" s="4" t="s">
        <v>264</v>
      </c>
      <c r="B212" s="4" t="n">
        <v>2025</v>
      </c>
      <c r="C212" s="4" t="s">
        <v>103</v>
      </c>
      <c r="D212" s="23" t="n">
        <v>11758294000</v>
      </c>
      <c r="E212" s="23" t="n">
        <v>5629858000</v>
      </c>
      <c r="F212" s="23" t="n">
        <v>1924103000</v>
      </c>
      <c r="G212" s="23" t="n">
        <v>1955103000</v>
      </c>
      <c r="H212" s="23" t="n">
        <v>1252549000</v>
      </c>
      <c r="I212" s="4" t="n">
        <v>0.96</v>
      </c>
      <c r="J212" s="23" t="n">
        <v>1304953000</v>
      </c>
      <c r="K212" s="23" t="n">
        <v>0</v>
      </c>
      <c r="L212" s="23" t="n">
        <v>2068588749</v>
      </c>
      <c r="M212" s="23" t="n">
        <v>-26455144</v>
      </c>
      <c r="N212" s="23" t="n">
        <v>2042133604</v>
      </c>
      <c r="O212" s="23" t="n">
        <v>449000000</v>
      </c>
      <c r="P212" s="23" t="n">
        <v>188000000</v>
      </c>
      <c r="Q212" s="23" t="n">
        <v>5767000000</v>
      </c>
      <c r="R212" s="23" t="n">
        <v>13473000000</v>
      </c>
      <c r="S212" s="4" t="n">
        <v>167.637708333333</v>
      </c>
    </row>
    <row r="213" customFormat="false" ht="15" hidden="false" customHeight="false" outlineLevel="0" collapsed="false">
      <c r="A213" s="4" t="s">
        <v>264</v>
      </c>
      <c r="B213" s="4" t="n">
        <v>2024</v>
      </c>
      <c r="C213" s="4" t="s">
        <v>572</v>
      </c>
      <c r="D213" s="23" t="n">
        <v>8880000000</v>
      </c>
      <c r="E213" s="23" t="n">
        <v>4472000000</v>
      </c>
      <c r="F213" s="23" t="n">
        <v>1075000000</v>
      </c>
      <c r="G213" s="23" t="n">
        <v>1283000000</v>
      </c>
      <c r="H213" s="23" t="n">
        <v>2019000000</v>
      </c>
      <c r="I213" s="4" t="n">
        <v>1.55</v>
      </c>
      <c r="J213" s="23" t="n">
        <v>1301510000</v>
      </c>
      <c r="K213" s="23" t="n">
        <v>0</v>
      </c>
      <c r="L213" s="23" t="n">
        <v>1616000000</v>
      </c>
      <c r="M213" s="23" t="n">
        <v>-19000000</v>
      </c>
      <c r="N213" s="23" t="n">
        <v>1597000000</v>
      </c>
      <c r="O213" s="23" t="n">
        <v>430000000</v>
      </c>
      <c r="P213" s="23" t="n">
        <v>1126000000</v>
      </c>
      <c r="Q213" s="23" t="n">
        <v>5479000000</v>
      </c>
      <c r="R213" s="23" t="n">
        <v>11558000000</v>
      </c>
      <c r="S213" s="4" t="n">
        <v>67.7151280254777</v>
      </c>
    </row>
    <row r="214" customFormat="false" ht="15" hidden="false" customHeight="false" outlineLevel="0" collapsed="false">
      <c r="A214" s="4" t="s">
        <v>264</v>
      </c>
      <c r="B214" s="4" t="n">
        <v>2023</v>
      </c>
      <c r="C214" s="4" t="s">
        <v>573</v>
      </c>
      <c r="D214" s="23" t="n">
        <v>7060000000</v>
      </c>
      <c r="E214" s="23" t="n">
        <v>3515000000</v>
      </c>
      <c r="F214" s="23" t="n">
        <v>260000000</v>
      </c>
      <c r="G214" s="23" t="n">
        <v>-8000000</v>
      </c>
      <c r="H214" s="23" t="n">
        <v>132000000</v>
      </c>
      <c r="I214" s="4" t="n">
        <v>0.1</v>
      </c>
      <c r="J214" s="23" t="n">
        <v>1295511385</v>
      </c>
      <c r="K214" s="23" t="n">
        <v>0</v>
      </c>
      <c r="L214" s="23" t="n">
        <v>944000000</v>
      </c>
      <c r="M214" s="23" t="n">
        <v>-39000000</v>
      </c>
      <c r="N214" s="23" t="n">
        <v>905000000</v>
      </c>
      <c r="O214" s="23" t="n">
        <v>615000000</v>
      </c>
      <c r="P214" s="23" t="n">
        <v>1150000000</v>
      </c>
      <c r="Q214" s="23" t="n">
        <v>5008000000</v>
      </c>
      <c r="R214" s="23" t="n">
        <v>9066000000</v>
      </c>
      <c r="S214" s="4" t="n">
        <v>777.733556</v>
      </c>
    </row>
    <row r="215" customFormat="false" ht="15" hidden="false" customHeight="false" outlineLevel="0" collapsed="false">
      <c r="A215" s="4" t="s">
        <v>264</v>
      </c>
      <c r="B215" s="4" t="n">
        <v>2022</v>
      </c>
      <c r="C215" s="4" t="s">
        <v>574</v>
      </c>
      <c r="D215" s="23" t="n">
        <v>5600000000</v>
      </c>
      <c r="E215" s="23" t="n">
        <v>2754000000</v>
      </c>
      <c r="F215" s="23" t="n">
        <v>-822000000</v>
      </c>
      <c r="G215" s="23" t="n">
        <v>-383000000</v>
      </c>
      <c r="H215" s="23" t="n">
        <v>-3460000000</v>
      </c>
      <c r="I215" s="4" t="n">
        <v>-2.73</v>
      </c>
      <c r="J215" s="23" t="n">
        <v>1266268155</v>
      </c>
      <c r="K215" s="23" t="n">
        <v>0</v>
      </c>
      <c r="L215" s="23" t="n">
        <v>-136000000</v>
      </c>
      <c r="M215" s="23" t="n">
        <v>-50018000</v>
      </c>
      <c r="N215" s="23" t="n">
        <v>-186000000</v>
      </c>
      <c r="O215" s="23" t="n">
        <v>549000000</v>
      </c>
      <c r="P215" s="23" t="n">
        <v>1396608000</v>
      </c>
      <c r="Q215" s="23" t="n">
        <v>5052950000</v>
      </c>
      <c r="R215" s="23" t="n">
        <v>8238889000</v>
      </c>
      <c r="S215" s="4" t="n">
        <v>-12.7030313276923</v>
      </c>
    </row>
    <row r="216" customFormat="false" ht="15" hidden="false" customHeight="false" outlineLevel="0" collapsed="false">
      <c r="A216" s="4" t="s">
        <v>264</v>
      </c>
      <c r="B216" s="4" t="n">
        <v>2021</v>
      </c>
      <c r="C216" s="4" t="s">
        <v>575</v>
      </c>
      <c r="D216" s="23" t="n">
        <v>4611856000</v>
      </c>
      <c r="E216" s="23" t="n">
        <v>2481144000</v>
      </c>
      <c r="F216" s="23" t="n">
        <v>268643000</v>
      </c>
      <c r="G216" s="23" t="n">
        <v>3208050000</v>
      </c>
      <c r="H216" s="23" t="n">
        <v>2914659000</v>
      </c>
      <c r="I216" s="4" t="n">
        <v>2.27</v>
      </c>
      <c r="J216" s="23" t="n">
        <v>1273647350</v>
      </c>
      <c r="K216" s="23" t="n">
        <v>1150000</v>
      </c>
      <c r="L216" s="23" t="n">
        <v>504428000</v>
      </c>
      <c r="M216" s="23" t="n">
        <v>-50788000</v>
      </c>
      <c r="N216" s="23" t="n">
        <v>453640000</v>
      </c>
      <c r="O216" s="23" t="n">
        <v>330763000</v>
      </c>
      <c r="P216" s="23" t="n">
        <v>1173487000</v>
      </c>
      <c r="Q216" s="23" t="n">
        <v>7768093000</v>
      </c>
      <c r="R216" s="23" t="n">
        <v>11133341000</v>
      </c>
      <c r="S216" s="4" t="n">
        <v>59.3525931653448</v>
      </c>
    </row>
    <row r="217" customFormat="false" ht="15" hidden="false" customHeight="false" outlineLevel="0" collapsed="false">
      <c r="A217" s="4" t="s">
        <v>268</v>
      </c>
      <c r="B217" s="4" t="n">
        <v>2025</v>
      </c>
      <c r="C217" s="4" t="s">
        <v>103</v>
      </c>
      <c r="D217" s="23" t="n">
        <v>15336000000</v>
      </c>
      <c r="E217" s="23" t="n">
        <v>10773000000</v>
      </c>
      <c r="F217" s="23" t="n">
        <v>6478000000</v>
      </c>
      <c r="G217" s="23" t="n">
        <v>7693000000</v>
      </c>
      <c r="H217" s="23" t="n">
        <v>4471000000</v>
      </c>
      <c r="I217" s="4" t="n">
        <v>14.66</v>
      </c>
      <c r="J217" s="23" t="n">
        <v>305100000</v>
      </c>
      <c r="K217" s="23" t="n">
        <v>287000000</v>
      </c>
      <c r="L217" s="23" t="n">
        <v>5651000000</v>
      </c>
      <c r="M217" s="23" t="n">
        <v>-195000000</v>
      </c>
      <c r="N217" s="23" t="n">
        <v>5456000000</v>
      </c>
      <c r="O217" s="23" t="n">
        <v>236000000</v>
      </c>
      <c r="P217" s="23" t="n">
        <v>14200000000</v>
      </c>
      <c r="Q217" s="23" t="n">
        <v>1801000000</v>
      </c>
      <c r="R217" s="23" t="n">
        <v>36152000000</v>
      </c>
      <c r="S217" s="4" t="n">
        <v>35.6230402181323</v>
      </c>
    </row>
    <row r="218" customFormat="false" ht="15" hidden="false" customHeight="false" outlineLevel="0" collapsed="false">
      <c r="A218" s="4" t="s">
        <v>268</v>
      </c>
      <c r="B218" s="4" t="n">
        <v>2024</v>
      </c>
      <c r="C218" s="4" t="s">
        <v>572</v>
      </c>
      <c r="D218" s="23" t="n">
        <v>14208000000</v>
      </c>
      <c r="E218" s="23" t="n">
        <v>9817000000</v>
      </c>
      <c r="F218" s="23" t="n">
        <v>5580000000</v>
      </c>
      <c r="G218" s="23" t="n">
        <v>6778000000</v>
      </c>
      <c r="H218" s="23" t="n">
        <v>3852000000</v>
      </c>
      <c r="I218" s="4" t="n">
        <v>12.35</v>
      </c>
      <c r="J218" s="23" t="n">
        <v>311900000</v>
      </c>
      <c r="K218" s="23" t="n">
        <v>297000000</v>
      </c>
      <c r="L218" s="23" t="n">
        <v>5689000000</v>
      </c>
      <c r="M218" s="23" t="n">
        <v>-124000000</v>
      </c>
      <c r="N218" s="23" t="n">
        <v>5565000000</v>
      </c>
      <c r="O218" s="23" t="n">
        <v>247000000</v>
      </c>
      <c r="P218" s="23" t="n">
        <v>11933000000</v>
      </c>
      <c r="Q218" s="23" t="n">
        <v>1686000000</v>
      </c>
      <c r="R218" s="23" t="n">
        <v>37508000000</v>
      </c>
      <c r="S218" s="4" t="n">
        <v>40.2936893203884</v>
      </c>
    </row>
    <row r="219" customFormat="false" ht="15" hidden="false" customHeight="false" outlineLevel="0" collapsed="false">
      <c r="A219" s="4" t="s">
        <v>268</v>
      </c>
      <c r="B219" s="4" t="n">
        <v>2023</v>
      </c>
      <c r="C219" s="4" t="s">
        <v>573</v>
      </c>
      <c r="D219" s="23" t="n">
        <v>12497000000</v>
      </c>
      <c r="E219" s="23" t="n">
        <v>8356000000</v>
      </c>
      <c r="F219" s="23" t="n">
        <v>4020000000</v>
      </c>
      <c r="G219" s="23" t="n">
        <v>5148000000</v>
      </c>
      <c r="H219" s="23" t="n">
        <v>2626000000</v>
      </c>
      <c r="I219" s="4" t="n">
        <v>8.23</v>
      </c>
      <c r="J219" s="23" t="n">
        <v>318900000</v>
      </c>
      <c r="K219" s="23" t="n">
        <v>334000000</v>
      </c>
      <c r="L219" s="23" t="n">
        <v>3710000000</v>
      </c>
      <c r="M219" s="23" t="n">
        <v>-143000000</v>
      </c>
      <c r="N219" s="23" t="n">
        <v>3567000000</v>
      </c>
      <c r="O219" s="23" t="n">
        <v>171000000</v>
      </c>
      <c r="P219" s="23" t="n">
        <v>12000000000</v>
      </c>
      <c r="Q219" s="23" t="n">
        <v>1316000000</v>
      </c>
      <c r="R219" s="23" t="n">
        <v>38100000000</v>
      </c>
      <c r="S219" s="4" t="n">
        <v>53.3963636363636</v>
      </c>
    </row>
    <row r="220" customFormat="false" ht="15" hidden="false" customHeight="false" outlineLevel="0" collapsed="false">
      <c r="A220" s="4" t="s">
        <v>268</v>
      </c>
      <c r="B220" s="4" t="n">
        <v>2022</v>
      </c>
      <c r="C220" s="4" t="s">
        <v>574</v>
      </c>
      <c r="D220" s="23" t="n">
        <v>11181000000</v>
      </c>
      <c r="E220" s="23" t="n">
        <v>7428000000</v>
      </c>
      <c r="F220" s="23" t="n">
        <v>4944000000</v>
      </c>
      <c r="G220" s="23" t="n">
        <v>6019000000</v>
      </c>
      <c r="H220" s="23" t="n">
        <v>3248000000</v>
      </c>
      <c r="I220" s="4" t="n">
        <v>10.2</v>
      </c>
      <c r="J220" s="23" t="n">
        <v>318500000</v>
      </c>
      <c r="K220" s="23" t="n">
        <v>304000000</v>
      </c>
      <c r="L220" s="23" t="n">
        <v>2603000000</v>
      </c>
      <c r="M220" s="23" t="n">
        <v>-89000000</v>
      </c>
      <c r="N220" s="23" t="n">
        <v>2514000000</v>
      </c>
      <c r="O220" s="23" t="n">
        <v>214000000</v>
      </c>
      <c r="P220" s="23" t="n">
        <v>11651000000</v>
      </c>
      <c r="Q220" s="23" t="n">
        <v>1300000000</v>
      </c>
      <c r="R220" s="23" t="n">
        <v>39744000000</v>
      </c>
      <c r="S220" s="4" t="n">
        <v>32.6770731707317</v>
      </c>
    </row>
    <row r="221" customFormat="false" ht="15" hidden="false" customHeight="false" outlineLevel="0" collapsed="false">
      <c r="A221" s="4" t="s">
        <v>268</v>
      </c>
      <c r="B221" s="4" t="n">
        <v>2021</v>
      </c>
      <c r="C221" s="4" t="s">
        <v>575</v>
      </c>
      <c r="D221" s="23" t="n">
        <v>8297000000</v>
      </c>
      <c r="E221" s="23" t="n">
        <v>6117000000</v>
      </c>
      <c r="F221" s="23" t="n">
        <v>4221000000</v>
      </c>
      <c r="G221" s="23" t="n">
        <v>4461000000</v>
      </c>
      <c r="H221" s="23" t="n">
        <v>3024000000</v>
      </c>
      <c r="I221" s="4" t="n">
        <v>12.51</v>
      </c>
      <c r="J221" s="23" t="n">
        <v>241800000</v>
      </c>
      <c r="K221" s="23" t="n">
        <v>119000000</v>
      </c>
      <c r="L221" s="23" t="n">
        <v>3598000000</v>
      </c>
      <c r="M221" s="23" t="n">
        <v>-35000000</v>
      </c>
      <c r="N221" s="23" t="n">
        <v>3563000000</v>
      </c>
      <c r="O221" s="23" t="n">
        <v>122000000</v>
      </c>
      <c r="P221" s="23" t="n">
        <v>4702000000</v>
      </c>
      <c r="Q221" s="23" t="n">
        <v>6508000000</v>
      </c>
      <c r="R221" s="23" t="n">
        <v>5536000000</v>
      </c>
      <c r="S221" s="4" t="n">
        <v>37.5740445859873</v>
      </c>
    </row>
    <row r="222" customFormat="false" ht="15" hidden="false" customHeight="false" outlineLevel="0" collapsed="false">
      <c r="A222" s="4" t="s">
        <v>272</v>
      </c>
      <c r="B222" s="4" t="n">
        <v>2025</v>
      </c>
      <c r="C222" s="4" t="s">
        <v>103</v>
      </c>
      <c r="D222" s="23" t="n">
        <v>25116000000</v>
      </c>
      <c r="E222" s="23" t="n">
        <v>16065000000</v>
      </c>
      <c r="F222" s="23" t="n">
        <v>4889000000</v>
      </c>
      <c r="G222" s="23" t="n">
        <v>6314000000</v>
      </c>
      <c r="H222" s="23" t="n">
        <v>3246000000</v>
      </c>
      <c r="I222" s="4" t="n">
        <v>8.4</v>
      </c>
      <c r="J222" s="23" t="n">
        <v>382200000</v>
      </c>
      <c r="K222" s="23" t="n">
        <v>607000000</v>
      </c>
      <c r="L222" s="23" t="n">
        <v>5044000000</v>
      </c>
      <c r="M222" s="23" t="n">
        <v>-761000000</v>
      </c>
      <c r="N222" s="23" t="n">
        <v>4283000000</v>
      </c>
      <c r="O222" s="23" t="n">
        <v>243000000</v>
      </c>
      <c r="P222" s="23" t="n">
        <v>16360000000</v>
      </c>
      <c r="Q222" s="23" t="n">
        <v>4100000000</v>
      </c>
      <c r="R222" s="23" t="n">
        <v>22420000000</v>
      </c>
      <c r="S222" s="4" t="n">
        <v>41.3981154299176</v>
      </c>
    </row>
    <row r="223" customFormat="false" ht="15" hidden="false" customHeight="false" outlineLevel="0" collapsed="false">
      <c r="A223" s="4" t="s">
        <v>272</v>
      </c>
      <c r="B223" s="4" t="n">
        <v>2024</v>
      </c>
      <c r="C223" s="4" t="s">
        <v>572</v>
      </c>
      <c r="D223" s="23" t="n">
        <v>22595000000</v>
      </c>
      <c r="E223" s="23" t="n">
        <v>14545000000</v>
      </c>
      <c r="F223" s="23" t="n">
        <v>3689000000</v>
      </c>
      <c r="G223" s="23" t="n">
        <v>6006000000</v>
      </c>
      <c r="H223" s="23" t="n">
        <v>2993000000</v>
      </c>
      <c r="I223" s="4" t="n">
        <v>7.76</v>
      </c>
      <c r="J223" s="23" t="n">
        <v>385600000</v>
      </c>
      <c r="K223" s="23" t="n">
        <v>396000000</v>
      </c>
      <c r="L223" s="23" t="n">
        <v>4242000000</v>
      </c>
      <c r="M223" s="23" t="n">
        <v>-755000000</v>
      </c>
      <c r="N223" s="23" t="n">
        <v>3487000000</v>
      </c>
      <c r="O223" s="23" t="n">
        <v>229000000</v>
      </c>
      <c r="P223" s="23" t="n">
        <v>14120000000</v>
      </c>
      <c r="Q223" s="23" t="n">
        <v>4493000000</v>
      </c>
      <c r="R223" s="23" t="n">
        <v>20634000000</v>
      </c>
      <c r="S223" s="4" t="n">
        <v>45.8078880407125</v>
      </c>
    </row>
    <row r="224" customFormat="false" ht="15" hidden="false" customHeight="false" outlineLevel="0" collapsed="false">
      <c r="A224" s="4" t="s">
        <v>272</v>
      </c>
      <c r="B224" s="4" t="n">
        <v>2023</v>
      </c>
      <c r="C224" s="4" t="s">
        <v>573</v>
      </c>
      <c r="D224" s="23" t="n">
        <v>20498000000</v>
      </c>
      <c r="E224" s="23" t="n">
        <v>12494000000</v>
      </c>
      <c r="F224" s="23" t="n">
        <v>4281000000</v>
      </c>
      <c r="G224" s="23" t="n">
        <v>5057000000</v>
      </c>
      <c r="H224" s="23" t="n">
        <v>3165000000</v>
      </c>
      <c r="I224" s="4" t="n">
        <v>8.25</v>
      </c>
      <c r="J224" s="23" t="n">
        <v>383700000</v>
      </c>
      <c r="K224" s="23" t="n">
        <v>356000000</v>
      </c>
      <c r="L224" s="23" t="n">
        <v>3711000000</v>
      </c>
      <c r="M224" s="23" t="n">
        <v>-575000000</v>
      </c>
      <c r="N224" s="23" t="n">
        <v>3136000000</v>
      </c>
      <c r="O224" s="23" t="n">
        <v>205000000</v>
      </c>
      <c r="P224" s="23" t="n">
        <v>13494000000</v>
      </c>
      <c r="Q224" s="23" t="n">
        <v>3053000000</v>
      </c>
      <c r="R224" s="23" t="n">
        <v>18593000000</v>
      </c>
      <c r="S224" s="4" t="n">
        <v>35.9064748201439</v>
      </c>
    </row>
    <row r="225" customFormat="false" ht="15" hidden="false" customHeight="false" outlineLevel="0" collapsed="false">
      <c r="A225" s="4" t="s">
        <v>272</v>
      </c>
      <c r="B225" s="4" t="n">
        <v>2022</v>
      </c>
      <c r="C225" s="4" t="s">
        <v>574</v>
      </c>
      <c r="D225" s="23" t="n">
        <v>18449000000</v>
      </c>
      <c r="E225" s="23" t="n">
        <v>11040000000</v>
      </c>
      <c r="F225" s="23" t="n">
        <v>3734000000</v>
      </c>
      <c r="G225" s="23" t="n">
        <v>4018000000</v>
      </c>
      <c r="H225" s="23" t="n">
        <v>2358000000</v>
      </c>
      <c r="I225" s="4" t="n">
        <v>6.17</v>
      </c>
      <c r="J225" s="23" t="n">
        <v>382200000</v>
      </c>
      <c r="K225" s="23" t="n">
        <v>337000000</v>
      </c>
      <c r="L225" s="23" t="n">
        <v>2624000000</v>
      </c>
      <c r="M225" s="23" t="n">
        <v>-588000000</v>
      </c>
      <c r="N225" s="23" t="n">
        <v>2036000000</v>
      </c>
      <c r="O225" s="23" t="n">
        <v>168000000</v>
      </c>
      <c r="P225" s="23" t="n">
        <v>13526000000</v>
      </c>
      <c r="Q225" s="23" t="n">
        <v>1928000000</v>
      </c>
      <c r="R225" s="23" t="n">
        <v>16616000000</v>
      </c>
      <c r="S225" s="4" t="n">
        <v>39.2439807383628</v>
      </c>
    </row>
    <row r="226" customFormat="false" ht="15" hidden="false" customHeight="false" outlineLevel="0" collapsed="false">
      <c r="A226" s="4" t="s">
        <v>272</v>
      </c>
      <c r="B226" s="4" t="n">
        <v>2021</v>
      </c>
      <c r="C226" s="4" t="s">
        <v>575</v>
      </c>
      <c r="D226" s="23" t="n">
        <v>17108000000</v>
      </c>
      <c r="E226" s="23" t="n">
        <v>10709000000</v>
      </c>
      <c r="F226" s="23" t="n">
        <v>3763000000</v>
      </c>
      <c r="G226" s="23" t="n">
        <v>3608000000</v>
      </c>
      <c r="H226" s="23" t="n">
        <v>1994000000</v>
      </c>
      <c r="I226" s="4" t="n">
        <v>5.22</v>
      </c>
      <c r="J226" s="23" t="n">
        <v>382300000</v>
      </c>
      <c r="K226" s="23" t="n">
        <v>337000000</v>
      </c>
      <c r="L226" s="23" t="n">
        <v>3263000000</v>
      </c>
      <c r="M226" s="23" t="n">
        <v>-525000000</v>
      </c>
      <c r="N226" s="23" t="n">
        <v>2738000000</v>
      </c>
      <c r="O226" s="23" t="n">
        <v>171000000</v>
      </c>
      <c r="P226" s="23" t="n">
        <v>12901000000</v>
      </c>
      <c r="Q226" s="23" t="n">
        <v>3019000000</v>
      </c>
      <c r="R226" s="23" t="n">
        <v>14877000000</v>
      </c>
      <c r="S226" s="4" t="n">
        <v>50.5519848771267</v>
      </c>
    </row>
    <row r="227" customFormat="false" ht="15" hidden="false" customHeight="false" outlineLevel="0" collapsed="false">
      <c r="A227" s="4" t="s">
        <v>275</v>
      </c>
      <c r="B227" s="4" t="n">
        <v>2026</v>
      </c>
      <c r="C227" s="4" t="s">
        <v>165</v>
      </c>
      <c r="D227" s="23" t="n">
        <v>60372000000</v>
      </c>
      <c r="E227" s="23" t="n">
        <v>18693000000</v>
      </c>
      <c r="F227" s="23" t="n">
        <v>7178000000</v>
      </c>
      <c r="G227" s="23" t="n">
        <v>8546000000</v>
      </c>
      <c r="H227" s="23" t="n">
        <v>5494000000</v>
      </c>
      <c r="I227" s="4" t="n">
        <v>4.88</v>
      </c>
      <c r="J227" s="23" t="n">
        <v>1125000000</v>
      </c>
      <c r="K227" s="23" t="n">
        <v>74000000</v>
      </c>
      <c r="L227" s="23" t="n">
        <v>6874000000</v>
      </c>
      <c r="M227" s="23" t="n">
        <v>-1957000000</v>
      </c>
      <c r="N227" s="23" t="n">
        <v>4917000000</v>
      </c>
      <c r="O227" s="23" t="n">
        <v>214000000</v>
      </c>
      <c r="P227" s="23" t="n">
        <v>13489000000</v>
      </c>
      <c r="Q227" s="23" t="n">
        <v>6230000000</v>
      </c>
      <c r="R227" s="23" t="n">
        <v>10190000000</v>
      </c>
      <c r="S227" s="4" t="n">
        <v>30.6359918200409</v>
      </c>
    </row>
    <row r="228" customFormat="false" ht="15" hidden="false" customHeight="false" outlineLevel="0" collapsed="false">
      <c r="A228" s="4" t="s">
        <v>275</v>
      </c>
      <c r="B228" s="4" t="n">
        <v>2025</v>
      </c>
      <c r="C228" s="4" t="s">
        <v>584</v>
      </c>
      <c r="D228" s="23" t="n">
        <v>56360000000</v>
      </c>
      <c r="E228" s="23" t="n">
        <v>17248000000</v>
      </c>
      <c r="F228" s="23" t="n">
        <v>6302000000</v>
      </c>
      <c r="G228" s="23" t="n">
        <v>7663000000</v>
      </c>
      <c r="H228" s="23" t="n">
        <v>4864000000</v>
      </c>
      <c r="I228" s="4" t="n">
        <v>4.26</v>
      </c>
      <c r="J228" s="23" t="n">
        <v>1142000000</v>
      </c>
      <c r="K228" s="23" t="n">
        <v>76000000</v>
      </c>
      <c r="L228" s="23" t="n">
        <v>6116000000</v>
      </c>
      <c r="M228" s="23" t="n">
        <v>-1918000000</v>
      </c>
      <c r="N228" s="23" t="n">
        <v>4198000000</v>
      </c>
      <c r="O228" s="23" t="n">
        <v>183000000</v>
      </c>
      <c r="P228" s="23" t="n">
        <v>12778000000</v>
      </c>
      <c r="Q228" s="23" t="n">
        <v>5335000000</v>
      </c>
      <c r="R228" s="23" t="n">
        <v>8393000000</v>
      </c>
      <c r="S228" s="4" t="n">
        <v>28.953596287703</v>
      </c>
    </row>
    <row r="229" customFormat="false" ht="15" hidden="false" customHeight="false" outlineLevel="0" collapsed="false">
      <c r="A229" s="4" t="s">
        <v>275</v>
      </c>
      <c r="B229" s="4" t="n">
        <v>2024</v>
      </c>
      <c r="C229" s="4" t="s">
        <v>585</v>
      </c>
      <c r="D229" s="23" t="n">
        <v>54217000000</v>
      </c>
      <c r="E229" s="23" t="n">
        <v>16266000000</v>
      </c>
      <c r="F229" s="23" t="n">
        <v>5797000000</v>
      </c>
      <c r="G229" s="23" t="n">
        <v>7010000000</v>
      </c>
      <c r="H229" s="23" t="n">
        <v>4474000000</v>
      </c>
      <c r="I229" s="4" t="n">
        <v>3.86</v>
      </c>
      <c r="J229" s="23" t="n">
        <v>1159000000</v>
      </c>
      <c r="K229" s="23" t="n">
        <v>79000000</v>
      </c>
      <c r="L229" s="23" t="n">
        <v>6057000000</v>
      </c>
      <c r="M229" s="23" t="n">
        <v>-1722000000</v>
      </c>
      <c r="N229" s="23" t="n">
        <v>4335000000</v>
      </c>
      <c r="O229" s="23" t="n">
        <v>160000000</v>
      </c>
      <c r="P229" s="23" t="n">
        <v>12542000000</v>
      </c>
      <c r="Q229" s="23" t="n">
        <v>5600000000</v>
      </c>
      <c r="R229" s="23" t="n">
        <v>7302000000</v>
      </c>
      <c r="S229" s="4" t="n">
        <v>24.3358974358974</v>
      </c>
    </row>
    <row r="230" customFormat="false" ht="15" hidden="false" customHeight="false" outlineLevel="0" collapsed="false">
      <c r="A230" s="4" t="s">
        <v>275</v>
      </c>
      <c r="B230" s="4" t="n">
        <v>2023</v>
      </c>
      <c r="C230" s="4" t="s">
        <v>586</v>
      </c>
      <c r="D230" s="23" t="n">
        <v>49936000000</v>
      </c>
      <c r="E230" s="23" t="n">
        <v>13787000000</v>
      </c>
      <c r="F230" s="23" t="n">
        <v>4860000000</v>
      </c>
      <c r="G230" s="23" t="n">
        <v>5607000000</v>
      </c>
      <c r="H230" s="23" t="n">
        <v>3498000000</v>
      </c>
      <c r="I230" s="4" t="n">
        <v>2.97</v>
      </c>
      <c r="J230" s="23" t="n">
        <v>1178000000</v>
      </c>
      <c r="K230" s="23" t="n">
        <v>84000000</v>
      </c>
      <c r="L230" s="23" t="n">
        <v>4084000000</v>
      </c>
      <c r="M230" s="23" t="n">
        <v>-1457000000</v>
      </c>
      <c r="N230" s="23" t="n">
        <v>2627000000</v>
      </c>
      <c r="O230" s="23" t="n">
        <v>122000000</v>
      </c>
      <c r="P230" s="23" t="n">
        <v>12744000000</v>
      </c>
      <c r="Q230" s="23" t="n">
        <v>5477000000</v>
      </c>
      <c r="R230" s="23" t="n">
        <v>6364000000</v>
      </c>
      <c r="S230" s="4" t="n">
        <v>27.2866666666667</v>
      </c>
    </row>
    <row r="231" customFormat="false" ht="15" hidden="false" customHeight="false" outlineLevel="0" collapsed="false">
      <c r="A231" s="4" t="s">
        <v>275</v>
      </c>
      <c r="B231" s="4" t="n">
        <v>2022</v>
      </c>
      <c r="C231" s="4" t="s">
        <v>587</v>
      </c>
      <c r="D231" s="23" t="n">
        <v>48550000000</v>
      </c>
      <c r="E231" s="23" t="n">
        <v>13836000000</v>
      </c>
      <c r="F231" s="23" t="n">
        <v>4755000000</v>
      </c>
      <c r="G231" s="23" t="n">
        <v>5385000000</v>
      </c>
      <c r="H231" s="23" t="n">
        <v>3283000000</v>
      </c>
      <c r="I231" s="4" t="n">
        <v>2.7</v>
      </c>
      <c r="J231" s="23" t="n">
        <v>1215591000</v>
      </c>
      <c r="K231" s="23" t="n">
        <v>119000000</v>
      </c>
      <c r="L231" s="23" t="n">
        <v>3057500000</v>
      </c>
      <c r="M231" s="23" t="n">
        <v>-1044794000</v>
      </c>
      <c r="N231" s="23" t="n">
        <v>2012700000</v>
      </c>
      <c r="O231" s="23" t="n">
        <v>189000000</v>
      </c>
      <c r="P231" s="23" t="n">
        <v>12508000000</v>
      </c>
      <c r="Q231" s="23" t="n">
        <v>6227000000</v>
      </c>
      <c r="R231" s="23" t="n">
        <v>6003000000</v>
      </c>
      <c r="S231" s="4" t="n">
        <v>26.2664233576642</v>
      </c>
    </row>
    <row r="232" customFormat="false" ht="15" hidden="false" customHeight="false" outlineLevel="0" collapsed="false">
      <c r="A232" s="4" t="s">
        <v>279</v>
      </c>
      <c r="B232" s="4" t="n">
        <v>2025</v>
      </c>
      <c r="C232" s="4" t="s">
        <v>103</v>
      </c>
      <c r="D232" s="23" t="n">
        <v>3809054000000</v>
      </c>
      <c r="E232" s="23" t="n">
        <v>2281294000000</v>
      </c>
      <c r="F232" s="23" t="n">
        <v>1935645000000</v>
      </c>
      <c r="G232" s="23" t="n">
        <v>2724262000000</v>
      </c>
      <c r="H232" s="23" t="n">
        <v>1717883000000</v>
      </c>
      <c r="I232" s="4" t="n">
        <v>66.25</v>
      </c>
      <c r="J232" s="23" t="n">
        <v>25930557000</v>
      </c>
      <c r="K232" s="23" t="n">
        <v>12370400000</v>
      </c>
      <c r="L232" s="23" t="n">
        <v>2358742000000</v>
      </c>
      <c r="M232" s="23" t="n">
        <v>-1272411000000</v>
      </c>
      <c r="N232" s="23" t="n">
        <v>1086331000000</v>
      </c>
      <c r="O232" s="23" t="n">
        <v>0</v>
      </c>
      <c r="P232" s="23" t="n">
        <v>1064582701000</v>
      </c>
      <c r="Q232" s="23" t="n">
        <v>3068594000000</v>
      </c>
      <c r="R232" s="23" t="n">
        <v>5460795000000</v>
      </c>
      <c r="S232" s="4" t="n">
        <v>23.3997584541063</v>
      </c>
    </row>
    <row r="233" customFormat="false" ht="15" hidden="false" customHeight="false" outlineLevel="0" collapsed="false">
      <c r="A233" s="4" t="s">
        <v>279</v>
      </c>
      <c r="B233" s="4" t="n">
        <v>2024</v>
      </c>
      <c r="C233" s="4" t="s">
        <v>572</v>
      </c>
      <c r="D233" s="23" t="n">
        <v>2894308000000</v>
      </c>
      <c r="E233" s="23" t="n">
        <v>1624354000000</v>
      </c>
      <c r="F233" s="23" t="n">
        <v>1322053000000</v>
      </c>
      <c r="G233" s="23" t="n">
        <v>2079132000000</v>
      </c>
      <c r="H233" s="23" t="n">
        <v>1158380200000</v>
      </c>
      <c r="I233" s="4" t="n">
        <v>45.25</v>
      </c>
      <c r="J233" s="23" t="n">
        <v>25929645000</v>
      </c>
      <c r="K233" s="23" t="n">
        <v>10495400000</v>
      </c>
      <c r="L233" s="23" t="n">
        <v>1826177100000</v>
      </c>
      <c r="M233" s="23" t="n">
        <v>-964981600000</v>
      </c>
      <c r="N233" s="23" t="n">
        <v>861195500000</v>
      </c>
      <c r="O233" s="23" t="n">
        <v>1242700000</v>
      </c>
      <c r="P233" s="23" t="n">
        <v>1047042100000</v>
      </c>
      <c r="Q233" s="23" t="n">
        <v>2485147000000</v>
      </c>
      <c r="R233" s="23" t="n">
        <v>4279271600000</v>
      </c>
      <c r="S233" s="4" t="n">
        <v>24.059982094897</v>
      </c>
    </row>
    <row r="234" customFormat="false" ht="15" hidden="false" customHeight="false" outlineLevel="0" collapsed="false">
      <c r="A234" s="4" t="s">
        <v>279</v>
      </c>
      <c r="B234" s="4" t="n">
        <v>2023</v>
      </c>
      <c r="C234" s="4" t="s">
        <v>573</v>
      </c>
      <c r="D234" s="23" t="n">
        <v>2161736000000</v>
      </c>
      <c r="E234" s="23" t="n">
        <v>1175111000000</v>
      </c>
      <c r="F234" s="23" t="n">
        <v>921466000000</v>
      </c>
      <c r="G234" s="23" t="n">
        <v>1523506800000</v>
      </c>
      <c r="H234" s="23" t="n">
        <v>838498000000</v>
      </c>
      <c r="I234" s="4" t="n">
        <v>32.85</v>
      </c>
      <c r="J234" s="23" t="n">
        <v>25929267000</v>
      </c>
      <c r="K234" s="23" t="n">
        <v>11999400000</v>
      </c>
      <c r="L234" s="23" t="n">
        <v>1241967300000</v>
      </c>
      <c r="M234" s="23" t="n">
        <v>-955398400000</v>
      </c>
      <c r="N234" s="23" t="n">
        <v>286568900000</v>
      </c>
      <c r="O234" s="23" t="n">
        <v>483000000</v>
      </c>
      <c r="P234" s="23" t="n">
        <v>956257900000</v>
      </c>
      <c r="Q234" s="23" t="n">
        <v>1714803200000</v>
      </c>
      <c r="R234" s="23" t="n">
        <v>3453866500000</v>
      </c>
      <c r="S234" s="4" t="n">
        <v>18.0517503805175</v>
      </c>
    </row>
    <row r="235" customFormat="false" ht="15" hidden="false" customHeight="false" outlineLevel="0" collapsed="false">
      <c r="A235" s="4" t="s">
        <v>279</v>
      </c>
      <c r="B235" s="4" t="n">
        <v>2022</v>
      </c>
      <c r="C235" s="4" t="s">
        <v>574</v>
      </c>
      <c r="D235" s="23" t="n">
        <v>2263891300000</v>
      </c>
      <c r="E235" s="23" t="n">
        <v>1348354800000</v>
      </c>
      <c r="F235" s="23" t="n">
        <v>1121278900000</v>
      </c>
      <c r="G235" s="23" t="n">
        <v>1593076500000</v>
      </c>
      <c r="H235" s="23" t="n">
        <v>992923400000</v>
      </c>
      <c r="I235" s="4" t="n">
        <v>39.2</v>
      </c>
      <c r="J235" s="23" t="n">
        <v>25929190000</v>
      </c>
      <c r="K235" s="23" t="n">
        <v>11750000000</v>
      </c>
      <c r="L235" s="23" t="n">
        <v>1610599200000</v>
      </c>
      <c r="M235" s="23" t="n">
        <v>-1089626400000</v>
      </c>
      <c r="N235" s="23" t="n">
        <v>520972800000</v>
      </c>
      <c r="O235" s="23" t="n">
        <v>302400000</v>
      </c>
      <c r="P235" s="23" t="n">
        <v>888174400000</v>
      </c>
      <c r="Q235" s="23" t="n">
        <v>1586500100000</v>
      </c>
      <c r="R235" s="23" t="n">
        <v>2917832400000</v>
      </c>
      <c r="S235" s="4" t="n">
        <v>11.4413265306122</v>
      </c>
    </row>
    <row r="236" customFormat="false" ht="15" hidden="false" customHeight="false" outlineLevel="0" collapsed="false">
      <c r="A236" s="4" t="s">
        <v>279</v>
      </c>
      <c r="B236" s="4" t="n">
        <v>2021</v>
      </c>
      <c r="C236" s="4" t="s">
        <v>575</v>
      </c>
      <c r="D236" s="23" t="n">
        <v>1587415000000</v>
      </c>
      <c r="E236" s="23" t="n">
        <v>819537300000</v>
      </c>
      <c r="F236" s="23" t="n">
        <v>649980900000</v>
      </c>
      <c r="G236" s="23" t="n">
        <v>1090845100000</v>
      </c>
      <c r="H236" s="23" t="n">
        <v>592359200000</v>
      </c>
      <c r="I236" s="4" t="n">
        <v>23.01</v>
      </c>
      <c r="J236" s="23" t="n">
        <v>25930380000</v>
      </c>
      <c r="K236" s="23" t="n">
        <v>5414200000</v>
      </c>
      <c r="L236" s="23" t="n">
        <v>1112160700000</v>
      </c>
      <c r="M236" s="23" t="n">
        <v>-849436400000</v>
      </c>
      <c r="N236" s="23" t="n">
        <v>262724300000</v>
      </c>
      <c r="O236" s="23" t="n">
        <v>7800000</v>
      </c>
      <c r="P236" s="23" t="n">
        <v>753631900000</v>
      </c>
      <c r="Q236" s="23" t="n">
        <v>1204913700000</v>
      </c>
      <c r="R236" s="23" t="n">
        <v>2151682500000</v>
      </c>
      <c r="S236" s="4" t="n">
        <v>26.7275097783572</v>
      </c>
    </row>
    <row r="237" customFormat="false" ht="15" hidden="false" customHeight="false" outlineLevel="0" collapsed="false">
      <c r="A237" s="4" t="s">
        <v>283</v>
      </c>
      <c r="B237" s="4" t="n">
        <v>2025</v>
      </c>
      <c r="C237" s="4" t="s">
        <v>285</v>
      </c>
      <c r="D237" s="23" t="n">
        <v>40000000000</v>
      </c>
      <c r="E237" s="23" t="n">
        <v>32145000000</v>
      </c>
      <c r="F237" s="23" t="n">
        <v>23994000000</v>
      </c>
      <c r="G237" s="23" t="n">
        <v>26003000000</v>
      </c>
      <c r="H237" s="23" t="n">
        <v>20058000000</v>
      </c>
      <c r="I237" s="4" t="n">
        <v>10.2</v>
      </c>
      <c r="J237" s="23" t="n">
        <v>1966000000</v>
      </c>
      <c r="K237" s="23" t="n">
        <v>589000000</v>
      </c>
      <c r="L237" s="23" t="n">
        <v>23059000000</v>
      </c>
      <c r="M237" s="23" t="n">
        <v>-1482000000</v>
      </c>
      <c r="N237" s="23" t="n">
        <v>21577000000</v>
      </c>
      <c r="O237" s="23" t="n">
        <v>897000000</v>
      </c>
      <c r="P237" s="23" t="n">
        <v>25171000000</v>
      </c>
      <c r="Q237" s="23" t="n">
        <v>21987000000</v>
      </c>
      <c r="R237" s="23" t="n">
        <v>37909000000</v>
      </c>
      <c r="S237" s="4" t="n">
        <v>33.4031311154599</v>
      </c>
    </row>
    <row r="238" customFormat="false" ht="15" hidden="false" customHeight="false" outlineLevel="0" collapsed="false">
      <c r="A238" s="4" t="s">
        <v>283</v>
      </c>
      <c r="B238" s="4" t="n">
        <v>2024</v>
      </c>
      <c r="C238" s="4" t="s">
        <v>610</v>
      </c>
      <c r="D238" s="23" t="n">
        <v>35926000000</v>
      </c>
      <c r="E238" s="23" t="n">
        <v>28884000000</v>
      </c>
      <c r="F238" s="23" t="n">
        <v>23595000000</v>
      </c>
      <c r="G238" s="23" t="n">
        <v>25591000000</v>
      </c>
      <c r="H238" s="23" t="n">
        <v>19743000000</v>
      </c>
      <c r="I238" s="4" t="n">
        <v>9.73</v>
      </c>
      <c r="J238" s="23" t="n">
        <v>2029000000</v>
      </c>
      <c r="K238" s="23" t="n">
        <v>641000000</v>
      </c>
      <c r="L238" s="23" t="n">
        <v>19950000000</v>
      </c>
      <c r="M238" s="23" t="n">
        <v>-1257000000</v>
      </c>
      <c r="N238" s="23" t="n">
        <v>18693000000</v>
      </c>
      <c r="O238" s="23" t="n">
        <v>850000000</v>
      </c>
      <c r="P238" s="23" t="n">
        <v>20836000000</v>
      </c>
      <c r="Q238" s="23" t="n">
        <v>15175000000</v>
      </c>
      <c r="R238" s="23" t="n">
        <v>39137000000</v>
      </c>
      <c r="S238" s="4" t="n">
        <v>28.2289527720739</v>
      </c>
    </row>
    <row r="239" customFormat="false" ht="15" hidden="false" customHeight="false" outlineLevel="0" collapsed="false">
      <c r="A239" s="4" t="s">
        <v>283</v>
      </c>
      <c r="B239" s="4" t="n">
        <v>2023</v>
      </c>
      <c r="C239" s="4" t="s">
        <v>611</v>
      </c>
      <c r="D239" s="23" t="n">
        <v>32653000000</v>
      </c>
      <c r="E239" s="23" t="n">
        <v>26086000000</v>
      </c>
      <c r="F239" s="23" t="n">
        <v>21000000000</v>
      </c>
      <c r="G239" s="23" t="n">
        <v>22624000000</v>
      </c>
      <c r="H239" s="23" t="n">
        <v>17273000000</v>
      </c>
      <c r="I239" s="4" t="n">
        <v>8.28</v>
      </c>
      <c r="J239" s="23" t="n">
        <v>2085000000</v>
      </c>
      <c r="K239" s="23" t="n">
        <v>644000000</v>
      </c>
      <c r="L239" s="23" t="n">
        <v>20755000000</v>
      </c>
      <c r="M239" s="23" t="n">
        <v>-1059000000</v>
      </c>
      <c r="N239" s="23" t="n">
        <v>19696000000</v>
      </c>
      <c r="O239" s="23" t="n">
        <v>765000000</v>
      </c>
      <c r="P239" s="23" t="n">
        <v>20463000000</v>
      </c>
      <c r="Q239" s="23" t="n">
        <v>20128000000</v>
      </c>
      <c r="R239" s="23" t="n">
        <v>38733000000</v>
      </c>
      <c r="S239" s="4" t="n">
        <v>27.745476477684</v>
      </c>
    </row>
    <row r="240" customFormat="false" ht="15" hidden="false" customHeight="false" outlineLevel="0" collapsed="false">
      <c r="A240" s="4" t="s">
        <v>283</v>
      </c>
      <c r="B240" s="4" t="n">
        <v>2022</v>
      </c>
      <c r="C240" s="4" t="s">
        <v>612</v>
      </c>
      <c r="D240" s="23" t="n">
        <v>29310000000</v>
      </c>
      <c r="E240" s="23" t="n">
        <v>23577000000</v>
      </c>
      <c r="F240" s="23" t="n">
        <v>18813000000</v>
      </c>
      <c r="G240" s="23" t="n">
        <v>19535000000</v>
      </c>
      <c r="H240" s="23" t="n">
        <v>14957000000</v>
      </c>
      <c r="I240" s="4" t="n">
        <v>7</v>
      </c>
      <c r="J240" s="23" t="n">
        <v>2136000000</v>
      </c>
      <c r="K240" s="23" t="n">
        <v>538000000</v>
      </c>
      <c r="L240" s="23" t="n">
        <v>18849000000</v>
      </c>
      <c r="M240" s="23" t="n">
        <v>-970000000</v>
      </c>
      <c r="N240" s="23" t="n">
        <v>17879000000</v>
      </c>
      <c r="O240" s="23" t="n">
        <v>602000000</v>
      </c>
      <c r="P240" s="23" t="n">
        <v>22450000000</v>
      </c>
      <c r="Q240" s="23" t="n">
        <v>18522000000</v>
      </c>
      <c r="R240" s="23" t="n">
        <v>35581000000</v>
      </c>
      <c r="S240" s="4" t="n">
        <v>25.3423680456491</v>
      </c>
    </row>
    <row r="241" customFormat="false" ht="15" hidden="false" customHeight="false" outlineLevel="0" collapsed="false">
      <c r="A241" s="4" t="s">
        <v>283</v>
      </c>
      <c r="B241" s="4" t="n">
        <v>2021</v>
      </c>
      <c r="C241" s="4" t="s">
        <v>613</v>
      </c>
      <c r="D241" s="23" t="n">
        <v>24105000000</v>
      </c>
      <c r="E241" s="23" t="n">
        <v>19135000000</v>
      </c>
      <c r="F241" s="23" t="n">
        <v>15804000000</v>
      </c>
      <c r="G241" s="23" t="n">
        <v>17380000000</v>
      </c>
      <c r="H241" s="23" t="n">
        <v>12311000000</v>
      </c>
      <c r="I241" s="4" t="n">
        <v>5.63</v>
      </c>
      <c r="J241" s="23" t="n">
        <v>2188000000</v>
      </c>
      <c r="K241" s="23" t="n">
        <v>513000000</v>
      </c>
      <c r="L241" s="23" t="n">
        <v>15227000000</v>
      </c>
      <c r="M241" s="23" t="n">
        <v>-705000000</v>
      </c>
      <c r="N241" s="23" t="n">
        <v>14522000000</v>
      </c>
      <c r="O241" s="23" t="n">
        <v>542000000</v>
      </c>
      <c r="P241" s="23" t="n">
        <v>20977000000</v>
      </c>
      <c r="Q241" s="23" t="n">
        <v>18512000000</v>
      </c>
      <c r="R241" s="23" t="n">
        <v>37589000000</v>
      </c>
      <c r="S241" s="4" t="n">
        <v>39.5648312611013</v>
      </c>
    </row>
    <row r="242" customFormat="false" ht="15" hidden="false" customHeight="false" outlineLevel="0" collapsed="false">
      <c r="A242" s="4" t="s">
        <v>287</v>
      </c>
      <c r="B242" s="4" t="n">
        <v>2025</v>
      </c>
      <c r="C242" s="4" t="s">
        <v>103</v>
      </c>
      <c r="D242" s="23" t="n">
        <v>12074600000</v>
      </c>
      <c r="E242" s="23" t="n">
        <v>10267500000</v>
      </c>
      <c r="F242" s="23" t="n">
        <v>4760700000</v>
      </c>
      <c r="G242" s="23" t="n">
        <v>4866300000</v>
      </c>
      <c r="H242" s="23" t="n">
        <v>3953200000</v>
      </c>
      <c r="I242" s="4" t="n">
        <v>15.32</v>
      </c>
      <c r="J242" s="23" t="n">
        <v>258000000</v>
      </c>
      <c r="K242" s="23" t="n">
        <v>13300000</v>
      </c>
      <c r="L242" s="23" t="n">
        <v>3631400000</v>
      </c>
      <c r="M242" s="23" t="n">
        <v>-437600000</v>
      </c>
      <c r="N242" s="23" t="n">
        <v>3193800000</v>
      </c>
      <c r="O242" s="23" t="n">
        <v>685900000</v>
      </c>
      <c r="P242" s="23" t="n">
        <v>3882500000</v>
      </c>
      <c r="Q242" s="23" t="n">
        <v>6611100000</v>
      </c>
      <c r="R242" s="23" t="n">
        <v>18665800000</v>
      </c>
      <c r="S242" s="4" t="n">
        <v>29.3247089262613</v>
      </c>
    </row>
    <row r="243" customFormat="false" ht="15" hidden="false" customHeight="false" outlineLevel="0" collapsed="false">
      <c r="A243" s="4" t="s">
        <v>287</v>
      </c>
      <c r="B243" s="4" t="n">
        <v>2024</v>
      </c>
      <c r="C243" s="4" t="s">
        <v>572</v>
      </c>
      <c r="D243" s="23" t="n">
        <v>11020100000</v>
      </c>
      <c r="E243" s="23" t="n">
        <v>9489600000</v>
      </c>
      <c r="F243" s="23" t="n">
        <v>-232900000</v>
      </c>
      <c r="G243" s="23" t="n">
        <v>486300000</v>
      </c>
      <c r="H243" s="23" t="n">
        <v>-535600000</v>
      </c>
      <c r="I243" s="4" t="n">
        <v>-2.08</v>
      </c>
      <c r="J243" s="23" t="n">
        <v>257900000</v>
      </c>
      <c r="K243" s="23" t="n">
        <v>30600000</v>
      </c>
      <c r="L243" s="23" t="n">
        <v>-492600000</v>
      </c>
      <c r="M243" s="23" t="n">
        <v>-297700000</v>
      </c>
      <c r="N243" s="23" t="n">
        <v>-790300000</v>
      </c>
      <c r="O243" s="23" t="n">
        <v>698500000</v>
      </c>
      <c r="P243" s="23" t="n">
        <v>1749500000</v>
      </c>
      <c r="Q243" s="23" t="n">
        <v>6115900000</v>
      </c>
      <c r="R243" s="23" t="n">
        <v>16409600000</v>
      </c>
      <c r="S243" s="4" t="n">
        <v>-193.605769230769</v>
      </c>
    </row>
    <row r="244" customFormat="false" ht="15" hidden="false" customHeight="false" outlineLevel="0" collapsed="false">
      <c r="A244" s="4" t="s">
        <v>287</v>
      </c>
      <c r="B244" s="4" t="n">
        <v>2023</v>
      </c>
      <c r="C244" s="4" t="s">
        <v>573</v>
      </c>
      <c r="D244" s="23" t="n">
        <v>9869200000</v>
      </c>
      <c r="E244" s="23" t="n">
        <v>8607000000</v>
      </c>
      <c r="F244" s="23" t="n">
        <v>3832000000</v>
      </c>
      <c r="G244" s="23" t="n">
        <v>4605200000</v>
      </c>
      <c r="H244" s="23" t="n">
        <v>3619600000</v>
      </c>
      <c r="I244" s="4" t="n">
        <v>13.89</v>
      </c>
      <c r="J244" s="23" t="n">
        <v>260500000</v>
      </c>
      <c r="K244" s="23" t="n">
        <v>44100000</v>
      </c>
      <c r="L244" s="23" t="n">
        <v>3537300000</v>
      </c>
      <c r="M244" s="23" t="n">
        <v>-258400000</v>
      </c>
      <c r="N244" s="23" t="n">
        <v>3278900000</v>
      </c>
      <c r="O244" s="23" t="n">
        <v>581200000</v>
      </c>
      <c r="P244" s="23" t="n">
        <v>808400000</v>
      </c>
      <c r="Q244" s="23" t="n">
        <v>11218300000</v>
      </c>
      <c r="R244" s="23" t="n">
        <v>17580400000</v>
      </c>
      <c r="S244" s="4" t="n">
        <v>28.9601423487545</v>
      </c>
    </row>
    <row r="245" customFormat="false" ht="15" hidden="false" customHeight="false" outlineLevel="0" collapsed="false">
      <c r="A245" s="4" t="s">
        <v>287</v>
      </c>
      <c r="B245" s="4" t="n">
        <v>2022</v>
      </c>
      <c r="C245" s="4" t="s">
        <v>574</v>
      </c>
      <c r="D245" s="23" t="n">
        <v>8930700000</v>
      </c>
      <c r="E245" s="23" t="n">
        <v>7850400000</v>
      </c>
      <c r="F245" s="23" t="n">
        <v>4307400000</v>
      </c>
      <c r="G245" s="23" t="n">
        <v>4435500000</v>
      </c>
      <c r="H245" s="23" t="n">
        <v>3322000000</v>
      </c>
      <c r="I245" s="4" t="n">
        <v>12.82</v>
      </c>
      <c r="J245" s="23" t="n">
        <v>259100000</v>
      </c>
      <c r="K245" s="23" t="n">
        <v>54800000</v>
      </c>
      <c r="L245" s="23" t="n">
        <v>4129900000</v>
      </c>
      <c r="M245" s="23" t="n">
        <v>-204700000</v>
      </c>
      <c r="N245" s="23" t="n">
        <v>3925200000</v>
      </c>
      <c r="O245" s="23" t="n">
        <v>491300000</v>
      </c>
      <c r="P245" s="23" t="n">
        <v>899700000</v>
      </c>
      <c r="Q245" s="23" t="n">
        <v>10778500000</v>
      </c>
      <c r="R245" s="23" t="n">
        <v>13912700000</v>
      </c>
      <c r="S245" s="4" t="n">
        <v>22.2652274479568</v>
      </c>
    </row>
    <row r="246" customFormat="false" ht="15" hidden="false" customHeight="false" outlineLevel="0" collapsed="false">
      <c r="A246" s="4" t="s">
        <v>287</v>
      </c>
      <c r="B246" s="4" t="n">
        <v>2021</v>
      </c>
      <c r="C246" s="4" t="s">
        <v>575</v>
      </c>
      <c r="D246" s="23" t="n">
        <v>7574400000</v>
      </c>
      <c r="E246" s="23" t="n">
        <v>6670200000</v>
      </c>
      <c r="F246" s="23" t="n">
        <v>2782100000</v>
      </c>
      <c r="G246" s="23" t="n">
        <v>2917500000</v>
      </c>
      <c r="H246" s="23" t="n">
        <v>2342100000</v>
      </c>
      <c r="I246" s="4" t="n">
        <v>9.01</v>
      </c>
      <c r="J246" s="23" t="n">
        <v>259899999</v>
      </c>
      <c r="K246" s="23" t="n">
        <v>61500000</v>
      </c>
      <c r="L246" s="23" t="n">
        <v>2643500000</v>
      </c>
      <c r="M246" s="23" t="n">
        <v>-235000000</v>
      </c>
      <c r="N246" s="23" t="n">
        <v>2408500000</v>
      </c>
      <c r="O246" s="23" t="n">
        <v>441400000</v>
      </c>
      <c r="P246" s="23" t="n">
        <v>967400000</v>
      </c>
      <c r="Q246" s="23" t="n">
        <v>7524900000</v>
      </c>
      <c r="R246" s="23" t="n">
        <v>10100000000</v>
      </c>
      <c r="S246" s="4" t="n">
        <v>24.1584158415842</v>
      </c>
    </row>
    <row r="247" customFormat="false" ht="15" hidden="false" customHeight="false" outlineLevel="0" collapsed="false">
      <c r="A247" s="4" t="s">
        <v>291</v>
      </c>
      <c r="B247" s="4" t="n">
        <v>2025</v>
      </c>
      <c r="C247" s="4" t="s">
        <v>103</v>
      </c>
      <c r="D247" s="23" t="n">
        <v>123529000000</v>
      </c>
      <c r="E247" s="23" t="n">
        <v>80041000000</v>
      </c>
      <c r="F247" s="23" t="n">
        <v>25199000000</v>
      </c>
      <c r="G247" s="23" t="n">
        <v>32912000000</v>
      </c>
      <c r="H247" s="23" t="n">
        <v>21338000000</v>
      </c>
      <c r="I247" s="4" t="n">
        <v>6.32</v>
      </c>
      <c r="J247" s="23" t="n">
        <v>3217400000</v>
      </c>
      <c r="K247" s="23" t="n">
        <v>39830000000</v>
      </c>
      <c r="L247" s="23" t="n">
        <v>-19001000000</v>
      </c>
      <c r="M247" s="23" t="n">
        <v>0</v>
      </c>
      <c r="N247" s="23" t="n">
        <v>-19001000000</v>
      </c>
      <c r="O247" s="23" t="n">
        <v>0</v>
      </c>
      <c r="P247" s="23" t="n">
        <v>425722000000</v>
      </c>
      <c r="Q247" s="23" t="n">
        <v>471553000000</v>
      </c>
      <c r="R247" s="23" t="n">
        <v>183038000000</v>
      </c>
      <c r="S247" s="4" t="n">
        <v>14.585289514867</v>
      </c>
    </row>
    <row r="248" customFormat="false" ht="15" hidden="false" customHeight="false" outlineLevel="0" collapsed="false">
      <c r="A248" s="4" t="s">
        <v>291</v>
      </c>
      <c r="B248" s="4" t="n">
        <v>2024</v>
      </c>
      <c r="C248" s="4" t="s">
        <v>572</v>
      </c>
      <c r="D248" s="23" t="n">
        <v>125397000000</v>
      </c>
      <c r="E248" s="23" t="n">
        <v>77962000000</v>
      </c>
      <c r="F248" s="23" t="n">
        <v>23364000000</v>
      </c>
      <c r="G248" s="23" t="n">
        <v>30922000000</v>
      </c>
      <c r="H248" s="23" t="n">
        <v>19722000000</v>
      </c>
      <c r="I248" s="4" t="n">
        <v>5.37</v>
      </c>
      <c r="J248" s="23" t="n">
        <v>3467600000</v>
      </c>
      <c r="K248" s="23" t="n">
        <v>43101000000</v>
      </c>
      <c r="L248" s="23" t="n">
        <v>3035000000</v>
      </c>
      <c r="M248" s="23" t="n">
        <v>0</v>
      </c>
      <c r="N248" s="23" t="n">
        <v>3035000000</v>
      </c>
      <c r="O248" s="23" t="n">
        <v>0</v>
      </c>
      <c r="P248" s="23" t="n">
        <v>281884000000</v>
      </c>
      <c r="Q248" s="23" t="n">
        <v>363464000000</v>
      </c>
      <c r="R248" s="23" t="n">
        <v>181066000000</v>
      </c>
      <c r="S248" s="4" t="n">
        <v>12.9355432780847</v>
      </c>
    </row>
    <row r="249" customFormat="false" ht="15" hidden="false" customHeight="false" outlineLevel="0" collapsed="false">
      <c r="A249" s="4" t="s">
        <v>291</v>
      </c>
      <c r="B249" s="4" t="n">
        <v>2023</v>
      </c>
      <c r="C249" s="4" t="s">
        <v>573</v>
      </c>
      <c r="D249" s="23" t="n">
        <v>115340000000</v>
      </c>
      <c r="E249" s="23" t="n">
        <v>77198000000</v>
      </c>
      <c r="F249" s="23" t="n">
        <v>21636000000</v>
      </c>
      <c r="G249" s="23" t="n">
        <v>27907000000</v>
      </c>
      <c r="H249" s="23" t="n">
        <v>19142000000</v>
      </c>
      <c r="I249" s="4" t="n">
        <v>4.83</v>
      </c>
      <c r="J249" s="23" t="n">
        <v>3720400000</v>
      </c>
      <c r="K249" s="23" t="n">
        <v>32743000000</v>
      </c>
      <c r="L249" s="23" t="n">
        <v>40358000000</v>
      </c>
      <c r="M249" s="23" t="n">
        <v>0</v>
      </c>
      <c r="N249" s="23" t="n">
        <v>40358000000</v>
      </c>
      <c r="O249" s="23" t="n">
        <v>0</v>
      </c>
      <c r="P249" s="23" t="n">
        <v>297147000000</v>
      </c>
      <c r="Q249" s="23" t="n">
        <v>362612000000</v>
      </c>
      <c r="R249" s="23" t="n">
        <v>187443000000</v>
      </c>
      <c r="S249" s="4" t="n">
        <v>10.0860655737705</v>
      </c>
    </row>
    <row r="250" customFormat="false" ht="15" hidden="false" customHeight="false" outlineLevel="0" collapsed="false">
      <c r="A250" s="4" t="s">
        <v>291</v>
      </c>
      <c r="B250" s="4" t="n">
        <v>2022</v>
      </c>
      <c r="C250" s="4" t="s">
        <v>574</v>
      </c>
      <c r="D250" s="23" t="n">
        <v>83442000000</v>
      </c>
      <c r="E250" s="23" t="n">
        <v>72834000000</v>
      </c>
      <c r="F250" s="23" t="n">
        <v>15629000000</v>
      </c>
      <c r="G250" s="23" t="n">
        <v>22461000000</v>
      </c>
      <c r="H250" s="23" t="n">
        <v>13677000000</v>
      </c>
      <c r="I250" s="4" t="n">
        <v>3.14</v>
      </c>
      <c r="J250" s="23" t="n">
        <v>3837000000</v>
      </c>
      <c r="K250" s="23" t="n">
        <v>9074000000</v>
      </c>
      <c r="L250" s="23" t="n">
        <v>27048000000</v>
      </c>
      <c r="M250" s="23" t="n">
        <v>0</v>
      </c>
      <c r="N250" s="23" t="n">
        <v>27048000000</v>
      </c>
      <c r="O250" s="23" t="n">
        <v>0</v>
      </c>
      <c r="P250" s="23" t="n">
        <v>226015000000</v>
      </c>
      <c r="Q250" s="23" t="n">
        <v>272751000000</v>
      </c>
      <c r="R250" s="23" t="n">
        <v>182213000000</v>
      </c>
      <c r="S250" s="4" t="n">
        <v>13.0252365930599</v>
      </c>
    </row>
    <row r="251" customFormat="false" ht="15" hidden="false" customHeight="false" outlineLevel="0" collapsed="false">
      <c r="A251" s="4" t="s">
        <v>291</v>
      </c>
      <c r="B251" s="4" t="n">
        <v>2021</v>
      </c>
      <c r="C251" s="4" t="s">
        <v>575</v>
      </c>
      <c r="D251" s="23" t="n">
        <v>83081000000</v>
      </c>
      <c r="E251" s="23" t="n">
        <v>83321000000</v>
      </c>
      <c r="F251" s="23" t="n">
        <v>29563000000</v>
      </c>
      <c r="G251" s="23" t="n">
        <v>37453000000</v>
      </c>
      <c r="H251" s="23" t="n">
        <v>22109000000</v>
      </c>
      <c r="I251" s="4" t="n">
        <v>4.99</v>
      </c>
      <c r="J251" s="23" t="n">
        <v>4096200000</v>
      </c>
      <c r="K251" s="23" t="n">
        <v>3915000000</v>
      </c>
      <c r="L251" s="23" t="n">
        <v>-11525000000</v>
      </c>
      <c r="M251" s="23" t="n">
        <v>0</v>
      </c>
      <c r="N251" s="23" t="n">
        <v>-11525000000</v>
      </c>
      <c r="O251" s="23" t="n">
        <v>0</v>
      </c>
      <c r="P251" s="23" t="n">
        <v>195098000000</v>
      </c>
      <c r="Q251" s="23" t="n">
        <v>411474000000</v>
      </c>
      <c r="R251" s="23" t="n">
        <v>190110000000</v>
      </c>
      <c r="S251" s="4" t="n">
        <v>9.61523046092184</v>
      </c>
    </row>
    <row r="252" customFormat="false" ht="15" hidden="false" customHeight="false" outlineLevel="0" collapsed="false">
      <c r="A252" s="4" t="s">
        <v>295</v>
      </c>
      <c r="B252" s="4" t="n">
        <v>2025</v>
      </c>
      <c r="C252" s="4" t="s">
        <v>298</v>
      </c>
      <c r="D252" s="23" t="n">
        <v>416161000000</v>
      </c>
      <c r="E252" s="23" t="n">
        <v>195201000000</v>
      </c>
      <c r="F252" s="23" t="n">
        <v>133050000000</v>
      </c>
      <c r="G252" s="23" t="n">
        <v>144427000000</v>
      </c>
      <c r="H252" s="23" t="n">
        <v>112010000000</v>
      </c>
      <c r="I252" s="4" t="n">
        <v>7.46</v>
      </c>
      <c r="J252" s="23" t="n">
        <v>15004697000</v>
      </c>
      <c r="K252" s="23" t="n">
        <v>0</v>
      </c>
      <c r="L252" s="23" t="n">
        <v>111482000000</v>
      </c>
      <c r="M252" s="23" t="n">
        <v>-12715000000</v>
      </c>
      <c r="N252" s="23" t="n">
        <v>98767000000</v>
      </c>
      <c r="O252" s="23" t="n">
        <v>12863000000</v>
      </c>
      <c r="P252" s="23" t="n">
        <v>112377000000</v>
      </c>
      <c r="Q252" s="23" t="n">
        <v>54697000000</v>
      </c>
      <c r="R252" s="23" t="n">
        <v>73733000000</v>
      </c>
      <c r="S252" s="4" t="n">
        <v>34.1068090787717</v>
      </c>
    </row>
    <row r="253" customFormat="false" ht="15" hidden="false" customHeight="false" outlineLevel="0" collapsed="false">
      <c r="A253" s="4" t="s">
        <v>295</v>
      </c>
      <c r="B253" s="4" t="n">
        <v>2024</v>
      </c>
      <c r="C253" s="4" t="s">
        <v>614</v>
      </c>
      <c r="D253" s="23" t="n">
        <v>391035000000</v>
      </c>
      <c r="E253" s="23" t="n">
        <v>180683000000</v>
      </c>
      <c r="F253" s="23" t="n">
        <v>123216000000</v>
      </c>
      <c r="G253" s="23" t="n">
        <v>134930000000</v>
      </c>
      <c r="H253" s="23" t="n">
        <v>93736000000</v>
      </c>
      <c r="I253" s="4" t="n">
        <v>6.08</v>
      </c>
      <c r="J253" s="23" t="n">
        <v>15408095000</v>
      </c>
      <c r="K253" s="23" t="n">
        <v>0</v>
      </c>
      <c r="L253" s="23" t="n">
        <v>118254000000</v>
      </c>
      <c r="M253" s="23" t="n">
        <v>-9447000000</v>
      </c>
      <c r="N253" s="23" t="n">
        <v>108807000000</v>
      </c>
      <c r="O253" s="23" t="n">
        <v>11688000000</v>
      </c>
      <c r="P253" s="23" t="n">
        <v>119059000000</v>
      </c>
      <c r="Q253" s="23" t="n">
        <v>65171000000</v>
      </c>
      <c r="R253" s="23" t="n">
        <v>56950000000</v>
      </c>
      <c r="S253" s="4" t="n">
        <v>37.2815057283142</v>
      </c>
    </row>
    <row r="254" customFormat="false" ht="15" hidden="false" customHeight="false" outlineLevel="0" collapsed="false">
      <c r="A254" s="4" t="s">
        <v>295</v>
      </c>
      <c r="B254" s="4" t="n">
        <v>2023</v>
      </c>
      <c r="C254" s="4" t="s">
        <v>611</v>
      </c>
      <c r="D254" s="23" t="n">
        <v>383285000000</v>
      </c>
      <c r="E254" s="23" t="n">
        <v>169148000000</v>
      </c>
      <c r="F254" s="23" t="n">
        <v>114301000000</v>
      </c>
      <c r="G254" s="23" t="n">
        <v>129188000000</v>
      </c>
      <c r="H254" s="23" t="n">
        <v>96995000000</v>
      </c>
      <c r="I254" s="4" t="n">
        <v>6.13</v>
      </c>
      <c r="J254" s="23" t="n">
        <v>15812547000</v>
      </c>
      <c r="K254" s="23" t="n">
        <v>3933000000</v>
      </c>
      <c r="L254" s="23" t="n">
        <v>110543000000</v>
      </c>
      <c r="M254" s="23" t="n">
        <v>-10959000000</v>
      </c>
      <c r="N254" s="23" t="n">
        <v>99584000000</v>
      </c>
      <c r="O254" s="23" t="n">
        <v>10833000000</v>
      </c>
      <c r="P254" s="23" t="n">
        <v>123930000000</v>
      </c>
      <c r="Q254" s="23" t="n">
        <v>61555000000</v>
      </c>
      <c r="R254" s="23" t="n">
        <v>62146000000</v>
      </c>
      <c r="S254" s="4" t="n">
        <v>27.7938311688312</v>
      </c>
    </row>
    <row r="255" customFormat="false" ht="15" hidden="false" customHeight="false" outlineLevel="0" collapsed="false">
      <c r="A255" s="4" t="s">
        <v>295</v>
      </c>
      <c r="B255" s="4" t="n">
        <v>2022</v>
      </c>
      <c r="C255" s="4" t="s">
        <v>615</v>
      </c>
      <c r="D255" s="23" t="n">
        <v>394328000000</v>
      </c>
      <c r="E255" s="23" t="n">
        <v>170782000000</v>
      </c>
      <c r="F255" s="23" t="n">
        <v>119437000000</v>
      </c>
      <c r="G255" s="23" t="n">
        <v>133138000000</v>
      </c>
      <c r="H255" s="23" t="n">
        <v>99803000000</v>
      </c>
      <c r="I255" s="4" t="n">
        <v>6.11</v>
      </c>
      <c r="J255" s="23" t="n">
        <v>16325819000</v>
      </c>
      <c r="K255" s="23" t="n">
        <v>2931000000</v>
      </c>
      <c r="L255" s="23" t="n">
        <v>122151000000</v>
      </c>
      <c r="M255" s="23" t="n">
        <v>-10708000000</v>
      </c>
      <c r="N255" s="23" t="n">
        <v>111443000000</v>
      </c>
      <c r="O255" s="23" t="n">
        <v>9038000000</v>
      </c>
      <c r="P255" s="23" t="n">
        <v>132480000000</v>
      </c>
      <c r="Q255" s="23" t="n">
        <v>48304000000</v>
      </c>
      <c r="R255" s="23" t="n">
        <v>50672000000</v>
      </c>
      <c r="S255" s="4" t="n">
        <v>24.460162601626</v>
      </c>
    </row>
    <row r="256" customFormat="false" ht="15" hidden="false" customHeight="false" outlineLevel="0" collapsed="false">
      <c r="A256" s="4" t="s">
        <v>295</v>
      </c>
      <c r="B256" s="4" t="n">
        <v>2021</v>
      </c>
      <c r="C256" s="4" t="s">
        <v>616</v>
      </c>
      <c r="D256" s="23" t="n">
        <v>365817000000</v>
      </c>
      <c r="E256" s="23" t="n">
        <v>152836000000</v>
      </c>
      <c r="F256" s="23" t="n">
        <v>108949000000</v>
      </c>
      <c r="G256" s="23" t="n">
        <v>123136000000</v>
      </c>
      <c r="H256" s="23" t="n">
        <v>94680000000</v>
      </c>
      <c r="I256" s="4" t="n">
        <v>5.61</v>
      </c>
      <c r="J256" s="23" t="n">
        <v>16864919000</v>
      </c>
      <c r="K256" s="23" t="n">
        <v>2645000000</v>
      </c>
      <c r="L256" s="23" t="n">
        <v>104038000000</v>
      </c>
      <c r="M256" s="23" t="n">
        <v>-11085000000</v>
      </c>
      <c r="N256" s="23" t="n">
        <v>92953000000</v>
      </c>
      <c r="O256" s="23" t="n">
        <v>7906000000</v>
      </c>
      <c r="P256" s="23" t="n">
        <v>136522000000</v>
      </c>
      <c r="Q256" s="23" t="n">
        <v>62639000000</v>
      </c>
      <c r="R256" s="23" t="n">
        <v>63090000000</v>
      </c>
      <c r="S256" s="4" t="n">
        <v>25.9118165784832</v>
      </c>
    </row>
    <row r="257" customFormat="false" ht="15" hidden="false" customHeight="false" outlineLevel="0" collapsed="false">
      <c r="A257" s="4" t="s">
        <v>300</v>
      </c>
      <c r="B257" s="4" t="n">
        <v>2025</v>
      </c>
      <c r="C257" s="4" t="s">
        <v>103</v>
      </c>
      <c r="D257" s="23" t="n">
        <v>44328000000</v>
      </c>
      <c r="E257" s="23" t="n">
        <v>24607000000</v>
      </c>
      <c r="F257" s="23" t="n">
        <v>8048000000</v>
      </c>
      <c r="G257" s="23" t="n">
        <v>11923000000</v>
      </c>
      <c r="H257" s="23" t="n">
        <v>6524000000</v>
      </c>
      <c r="I257" s="4" t="n">
        <v>3.72</v>
      </c>
      <c r="J257" s="23" t="n">
        <v>1747000000</v>
      </c>
      <c r="K257" s="23" t="n">
        <v>341000000</v>
      </c>
      <c r="L257" s="23" t="n">
        <v>9566000000</v>
      </c>
      <c r="M257" s="23" t="n">
        <v>-2171000000</v>
      </c>
      <c r="N257" s="23" t="n">
        <v>7395000000</v>
      </c>
      <c r="O257" s="23" t="n">
        <v>664000000</v>
      </c>
      <c r="P257" s="23" t="n">
        <v>15067000000</v>
      </c>
      <c r="Q257" s="23" t="n">
        <v>8939000000</v>
      </c>
      <c r="R257" s="23" t="n">
        <v>52771000000</v>
      </c>
      <c r="S257" s="4" t="n">
        <v>33.5</v>
      </c>
    </row>
    <row r="258" customFormat="false" ht="15" hidden="false" customHeight="false" outlineLevel="0" collapsed="false">
      <c r="A258" s="4" t="s">
        <v>300</v>
      </c>
      <c r="B258" s="4" t="n">
        <v>2024</v>
      </c>
      <c r="C258" s="4" t="s">
        <v>572</v>
      </c>
      <c r="D258" s="23" t="n">
        <v>41950000000</v>
      </c>
      <c r="E258" s="23" t="n">
        <v>21325000000</v>
      </c>
      <c r="F258" s="23" t="n">
        <v>6825000000</v>
      </c>
      <c r="G258" s="23" t="n">
        <v>10834000000</v>
      </c>
      <c r="H258" s="23" t="n">
        <v>13402000000</v>
      </c>
      <c r="I258" s="4" t="n">
        <v>7.64</v>
      </c>
      <c r="J258" s="23" t="n">
        <v>1748000000</v>
      </c>
      <c r="K258" s="23" t="n">
        <v>603000000</v>
      </c>
      <c r="L258" s="23" t="n">
        <v>8558000000</v>
      </c>
      <c r="M258" s="23" t="n">
        <v>-2207000000</v>
      </c>
      <c r="N258" s="23" t="n">
        <v>6351000000</v>
      </c>
      <c r="O258" s="23" t="n">
        <v>673000000</v>
      </c>
      <c r="P258" s="23" t="n">
        <v>15275000000</v>
      </c>
      <c r="Q258" s="23" t="n">
        <v>7967000000</v>
      </c>
      <c r="R258" s="23" t="n">
        <v>47901000000</v>
      </c>
      <c r="S258" s="4" t="n">
        <v>14.7470664928292</v>
      </c>
    </row>
    <row r="259" customFormat="false" ht="15" hidden="false" customHeight="false" outlineLevel="0" collapsed="false">
      <c r="A259" s="4" t="s">
        <v>300</v>
      </c>
      <c r="B259" s="4" t="n">
        <v>2023</v>
      </c>
      <c r="C259" s="4" t="s">
        <v>573</v>
      </c>
      <c r="D259" s="23" t="n">
        <v>40109000000</v>
      </c>
      <c r="E259" s="23" t="n">
        <v>20037000000</v>
      </c>
      <c r="F259" s="23" t="n">
        <v>6435000000</v>
      </c>
      <c r="G259" s="23" t="n">
        <v>10605000000</v>
      </c>
      <c r="H259" s="23" t="n">
        <v>5723000000</v>
      </c>
      <c r="I259" s="4" t="n">
        <v>3.27</v>
      </c>
      <c r="J259" s="23" t="n">
        <v>1749000000</v>
      </c>
      <c r="K259" s="23" t="n">
        <v>698000000</v>
      </c>
      <c r="L259" s="23" t="n">
        <v>7261000000</v>
      </c>
      <c r="M259" s="23" t="n">
        <v>-2202000000</v>
      </c>
      <c r="N259" s="23" t="n">
        <v>5059000000</v>
      </c>
      <c r="O259" s="23" t="n">
        <v>644000000</v>
      </c>
      <c r="P259" s="23" t="n">
        <v>15873000000</v>
      </c>
      <c r="Q259" s="23" t="n">
        <v>7279000000</v>
      </c>
      <c r="R259" s="23" t="n">
        <v>38827000000</v>
      </c>
      <c r="S259" s="4" t="n">
        <v>33.3545454545455</v>
      </c>
    </row>
    <row r="260" customFormat="false" ht="15" hidden="false" customHeight="false" outlineLevel="0" collapsed="false">
      <c r="A260" s="4" t="s">
        <v>300</v>
      </c>
      <c r="B260" s="4" t="n">
        <v>2022</v>
      </c>
      <c r="C260" s="4" t="s">
        <v>574</v>
      </c>
      <c r="D260" s="23" t="n">
        <v>43653000000</v>
      </c>
      <c r="E260" s="23" t="n">
        <v>22323000000</v>
      </c>
      <c r="F260" s="23" t="n">
        <v>8362000000</v>
      </c>
      <c r="G260" s="23" t="n">
        <v>11888000000</v>
      </c>
      <c r="H260" s="23" t="n">
        <v>6933000000</v>
      </c>
      <c r="I260" s="4" t="n">
        <v>3.91</v>
      </c>
      <c r="J260" s="23" t="n">
        <v>1764000000</v>
      </c>
      <c r="K260" s="23" t="n">
        <v>315000000</v>
      </c>
      <c r="L260" s="23" t="n">
        <v>9581000000</v>
      </c>
      <c r="M260" s="23" t="n">
        <v>-1777000000</v>
      </c>
      <c r="N260" s="23" t="n">
        <v>7804000000</v>
      </c>
      <c r="O260" s="23" t="n">
        <v>685000000</v>
      </c>
      <c r="P260" s="23" t="n">
        <v>17946000000</v>
      </c>
      <c r="Q260" s="23" t="n">
        <v>10170000000</v>
      </c>
      <c r="R260" s="23" t="n">
        <v>36905000000</v>
      </c>
      <c r="S260" s="4" t="n">
        <v>27.8654822335025</v>
      </c>
    </row>
    <row r="261" customFormat="false" ht="15" hidden="false" customHeight="false" outlineLevel="0" collapsed="false">
      <c r="A261" s="4" t="s">
        <v>300</v>
      </c>
      <c r="B261" s="4" t="n">
        <v>2021</v>
      </c>
      <c r="C261" s="4" t="s">
        <v>575</v>
      </c>
      <c r="D261" s="23" t="n">
        <v>43075000000</v>
      </c>
      <c r="E261" s="23" t="n">
        <v>23214000000</v>
      </c>
      <c r="F261" s="23" t="n">
        <v>9200000000</v>
      </c>
      <c r="G261" s="23" t="n">
        <v>12159000000</v>
      </c>
      <c r="H261" s="23" t="n">
        <v>7071000000</v>
      </c>
      <c r="I261" s="4" t="n">
        <v>3.94</v>
      </c>
      <c r="J261" s="23" t="n">
        <v>1789000000</v>
      </c>
      <c r="K261" s="23" t="n">
        <v>410000000</v>
      </c>
      <c r="L261" s="23" t="n">
        <v>10533000000</v>
      </c>
      <c r="M261" s="23" t="n">
        <v>-1885000000</v>
      </c>
      <c r="N261" s="23" t="n">
        <v>8648000000</v>
      </c>
      <c r="O261" s="23" t="n">
        <v>640000000</v>
      </c>
      <c r="P261" s="23" t="n">
        <v>19251000000</v>
      </c>
      <c r="Q261" s="23" t="n">
        <v>10249000000</v>
      </c>
      <c r="R261" s="23" t="n">
        <v>36024000000</v>
      </c>
      <c r="S261" s="4" t="n">
        <v>35.4508816120907</v>
      </c>
    </row>
    <row r="262" customFormat="false" ht="15" hidden="false" customHeight="false" outlineLevel="0" collapsed="false">
      <c r="A262" s="4" t="s">
        <v>303</v>
      </c>
      <c r="B262" s="4" t="n">
        <v>2025</v>
      </c>
      <c r="C262" s="4" t="s">
        <v>305</v>
      </c>
      <c r="D262" s="23" t="n">
        <v>34639000000</v>
      </c>
      <c r="E262" s="23" t="n">
        <v>17152000000</v>
      </c>
      <c r="F262" s="23" t="n">
        <v>3694000000</v>
      </c>
      <c r="G262" s="23" t="n">
        <v>7275000000</v>
      </c>
      <c r="H262" s="23" t="n">
        <v>4335000000</v>
      </c>
      <c r="I262" s="4" t="n">
        <v>2.65</v>
      </c>
      <c r="J262" s="23" t="n">
        <v>1636000000</v>
      </c>
      <c r="K262" s="23" t="n">
        <v>131000000</v>
      </c>
      <c r="L262" s="23" t="n">
        <v>7709000000</v>
      </c>
      <c r="M262" s="23" t="n">
        <v>-974000000</v>
      </c>
      <c r="N262" s="23" t="n">
        <v>6735000000</v>
      </c>
      <c r="O262" s="23" t="n">
        <v>1638000000</v>
      </c>
      <c r="P262" s="23" t="n">
        <v>4472000000</v>
      </c>
      <c r="Q262" s="23" t="n">
        <v>10552000000</v>
      </c>
      <c r="R262" s="23" t="n">
        <v>62999000000</v>
      </c>
      <c r="S262" s="4" t="n">
        <v>80.5205992509363</v>
      </c>
    </row>
    <row r="263" customFormat="false" ht="15" hidden="false" customHeight="false" outlineLevel="0" collapsed="false">
      <c r="A263" s="4" t="s">
        <v>303</v>
      </c>
      <c r="B263" s="4" t="n">
        <v>2024</v>
      </c>
      <c r="C263" s="4" t="s">
        <v>617</v>
      </c>
      <c r="D263" s="23" t="n">
        <v>25785000000</v>
      </c>
      <c r="E263" s="23" t="n">
        <v>12725000000</v>
      </c>
      <c r="F263" s="23" t="n">
        <v>1900000000</v>
      </c>
      <c r="G263" s="23" t="n">
        <v>5258000000</v>
      </c>
      <c r="H263" s="23" t="n">
        <v>1641000000</v>
      </c>
      <c r="I263" s="4" t="n">
        <v>1</v>
      </c>
      <c r="J263" s="23" t="n">
        <v>1637000000</v>
      </c>
      <c r="K263" s="23" t="n">
        <v>92000000</v>
      </c>
      <c r="L263" s="23" t="n">
        <v>3041000000</v>
      </c>
      <c r="M263" s="23" t="n">
        <v>-636000000</v>
      </c>
      <c r="N263" s="23" t="n">
        <v>2405000000</v>
      </c>
      <c r="O263" s="23" t="n">
        <v>1407000000</v>
      </c>
      <c r="P263" s="23" t="n">
        <v>2212000000</v>
      </c>
      <c r="Q263" s="23" t="n">
        <v>5132000000</v>
      </c>
      <c r="R263" s="23" t="n">
        <v>57568000000</v>
      </c>
      <c r="S263" s="4" t="n">
        <v>123.950495049505</v>
      </c>
    </row>
    <row r="264" customFormat="false" ht="15" hidden="false" customHeight="false" outlineLevel="0" collapsed="false">
      <c r="A264" s="4" t="s">
        <v>303</v>
      </c>
      <c r="B264" s="4" t="n">
        <v>2023</v>
      </c>
      <c r="C264" s="4" t="s">
        <v>618</v>
      </c>
      <c r="D264" s="23" t="n">
        <v>22680000000</v>
      </c>
      <c r="E264" s="23" t="n">
        <v>10460000000</v>
      </c>
      <c r="F264" s="23" t="n">
        <v>401000000</v>
      </c>
      <c r="G264" s="23" t="n">
        <v>4149000000</v>
      </c>
      <c r="H264" s="23" t="n">
        <v>854000000</v>
      </c>
      <c r="I264" s="4" t="n">
        <v>0.53</v>
      </c>
      <c r="J264" s="23" t="n">
        <v>1625000000</v>
      </c>
      <c r="K264" s="23" t="n">
        <v>106000000</v>
      </c>
      <c r="L264" s="23" t="n">
        <v>1667000000</v>
      </c>
      <c r="M264" s="23" t="n">
        <v>-546000000</v>
      </c>
      <c r="N264" s="23" t="n">
        <v>1121000000</v>
      </c>
      <c r="O264" s="23" t="n">
        <v>1384000000</v>
      </c>
      <c r="P264" s="23" t="n">
        <v>3003000000</v>
      </c>
      <c r="Q264" s="23" t="n">
        <v>5773000000</v>
      </c>
      <c r="R264" s="23" t="n">
        <v>55892000000</v>
      </c>
      <c r="S264" s="4" t="n">
        <v>278.132075471698</v>
      </c>
    </row>
    <row r="265" customFormat="false" ht="15" hidden="false" customHeight="false" outlineLevel="0" collapsed="false">
      <c r="A265" s="4" t="s">
        <v>303</v>
      </c>
      <c r="B265" s="4" t="n">
        <v>2022</v>
      </c>
      <c r="C265" s="4" t="s">
        <v>574</v>
      </c>
      <c r="D265" s="23" t="n">
        <v>23601000000</v>
      </c>
      <c r="E265" s="23" t="n">
        <v>10603000000</v>
      </c>
      <c r="F265" s="23" t="n">
        <v>1264000000</v>
      </c>
      <c r="G265" s="23" t="n">
        <v>5534000000</v>
      </c>
      <c r="H265" s="23" t="n">
        <v>1320000000</v>
      </c>
      <c r="I265" s="4" t="n">
        <v>0.84</v>
      </c>
      <c r="J265" s="23" t="n">
        <v>1571000000</v>
      </c>
      <c r="K265" s="23" t="n">
        <v>88000000</v>
      </c>
      <c r="L265" s="23" t="n">
        <v>3565000000</v>
      </c>
      <c r="M265" s="23" t="n">
        <v>-450000000</v>
      </c>
      <c r="N265" s="23" t="n">
        <v>3115000000</v>
      </c>
      <c r="O265" s="23" t="n">
        <v>1081000000</v>
      </c>
      <c r="P265" s="23" t="n">
        <v>2863000000</v>
      </c>
      <c r="Q265" s="23" t="n">
        <v>5855000000</v>
      </c>
      <c r="R265" s="23" t="n">
        <v>54750000000</v>
      </c>
      <c r="S265" s="4" t="n">
        <v>76.2</v>
      </c>
    </row>
    <row r="266" customFormat="false" ht="15" hidden="false" customHeight="false" outlineLevel="0" collapsed="false">
      <c r="A266" s="4" t="s">
        <v>303</v>
      </c>
      <c r="B266" s="4" t="n">
        <v>2021</v>
      </c>
      <c r="C266" s="4" t="s">
        <v>619</v>
      </c>
      <c r="D266" s="23" t="n">
        <v>16434000000</v>
      </c>
      <c r="E266" s="23" t="n">
        <v>7929000000</v>
      </c>
      <c r="F266" s="23" t="n">
        <v>3648000000</v>
      </c>
      <c r="G266" s="23" t="n">
        <v>4166000000</v>
      </c>
      <c r="H266" s="23" t="n">
        <v>3162000000</v>
      </c>
      <c r="I266" s="4" t="n">
        <v>2.57</v>
      </c>
      <c r="J266" s="23" t="n">
        <v>1229000000</v>
      </c>
      <c r="K266" s="23" t="n">
        <v>34000000</v>
      </c>
      <c r="L266" s="23" t="n">
        <v>3521000000</v>
      </c>
      <c r="M266" s="23" t="n">
        <v>-301000000</v>
      </c>
      <c r="N266" s="23" t="n">
        <v>3220000000</v>
      </c>
      <c r="O266" s="23" t="n">
        <v>379000000</v>
      </c>
      <c r="P266" s="23" t="n">
        <v>661000000</v>
      </c>
      <c r="Q266" s="23" t="n">
        <v>3608000000</v>
      </c>
      <c r="R266" s="23" t="n">
        <v>7497000000</v>
      </c>
      <c r="S266" s="4" t="n">
        <v>55.992337164751</v>
      </c>
    </row>
    <row r="267" customFormat="false" ht="15" hidden="false" customHeight="false" outlineLevel="0" collapsed="false">
      <c r="A267" s="4" t="s">
        <v>307</v>
      </c>
      <c r="B267" s="4" t="n">
        <v>2025</v>
      </c>
      <c r="C267" s="4" t="s">
        <v>103</v>
      </c>
      <c r="D267" s="23" t="n">
        <v>36741000000</v>
      </c>
      <c r="E267" s="23" t="n">
        <v>26012000000</v>
      </c>
      <c r="F267" s="23" t="n">
        <v>10676000000</v>
      </c>
      <c r="G267" s="23" t="n">
        <v>16898000000</v>
      </c>
      <c r="H267" s="23" t="n">
        <v>7711000000</v>
      </c>
      <c r="I267" s="4" t="n">
        <v>14.23</v>
      </c>
      <c r="J267" s="23" t="n">
        <v>542000000</v>
      </c>
      <c r="K267" s="23" t="n">
        <v>2755000000</v>
      </c>
      <c r="L267" s="23" t="n">
        <v>9958000000</v>
      </c>
      <c r="M267" s="23" t="n">
        <v>-1858000000</v>
      </c>
      <c r="N267" s="23" t="n">
        <v>8100000000</v>
      </c>
      <c r="O267" s="23" t="n">
        <v>494000000</v>
      </c>
      <c r="P267" s="23" t="n">
        <v>54604000000</v>
      </c>
      <c r="Q267" s="23" t="n">
        <v>9129000000</v>
      </c>
      <c r="R267" s="23" t="n">
        <v>8658000000</v>
      </c>
      <c r="S267" s="4" t="n">
        <v>22.840893230984</v>
      </c>
    </row>
    <row r="268" customFormat="false" ht="15" hidden="false" customHeight="false" outlineLevel="0" collapsed="false">
      <c r="A268" s="4" t="s">
        <v>307</v>
      </c>
      <c r="B268" s="4" t="n">
        <v>2024</v>
      </c>
      <c r="C268" s="4" t="s">
        <v>572</v>
      </c>
      <c r="D268" s="23" t="n">
        <v>33424000000</v>
      </c>
      <c r="E268" s="23" t="n">
        <v>20566000000</v>
      </c>
      <c r="F268" s="23" t="n">
        <v>7258000000</v>
      </c>
      <c r="G268" s="23" t="n">
        <v>13356000000</v>
      </c>
      <c r="H268" s="23" t="n">
        <v>4090000000</v>
      </c>
      <c r="I268" s="4" t="n">
        <v>7.56</v>
      </c>
      <c r="J268" s="23" t="n">
        <v>541000000</v>
      </c>
      <c r="K268" s="23" t="n">
        <v>3155000000</v>
      </c>
      <c r="L268" s="23" t="n">
        <v>11490000000</v>
      </c>
      <c r="M268" s="23" t="n">
        <v>-1096000000</v>
      </c>
      <c r="N268" s="23" t="n">
        <v>10394000000</v>
      </c>
      <c r="O268" s="23" t="n">
        <v>530000000</v>
      </c>
      <c r="P268" s="23" t="n">
        <v>60099000000</v>
      </c>
      <c r="Q268" s="23" t="n">
        <v>11973000000</v>
      </c>
      <c r="R268" s="23" t="n">
        <v>5877000000</v>
      </c>
      <c r="S268" s="4" t="n">
        <v>34.2047244094488</v>
      </c>
    </row>
    <row r="269" customFormat="false" ht="15" hidden="false" customHeight="false" outlineLevel="0" collapsed="false">
      <c r="A269" s="4" t="s">
        <v>307</v>
      </c>
      <c r="B269" s="4" t="n">
        <v>2023</v>
      </c>
      <c r="C269" s="4" t="s">
        <v>573</v>
      </c>
      <c r="D269" s="23" t="n">
        <v>28190000000</v>
      </c>
      <c r="E269" s="23" t="n">
        <v>19775000000</v>
      </c>
      <c r="F269" s="23" t="n">
        <v>7897000000</v>
      </c>
      <c r="G269" s="23" t="n">
        <v>14801000000</v>
      </c>
      <c r="H269" s="23" t="n">
        <v>6717000000</v>
      </c>
      <c r="I269" s="4" t="n">
        <v>12.49</v>
      </c>
      <c r="J269" s="23" t="n">
        <v>538000000</v>
      </c>
      <c r="K269" s="23" t="n">
        <v>2875000000</v>
      </c>
      <c r="L269" s="23" t="n">
        <v>8471000000</v>
      </c>
      <c r="M269" s="23" t="n">
        <v>-1112000000</v>
      </c>
      <c r="N269" s="23" t="n">
        <v>7359000000</v>
      </c>
      <c r="O269" s="23" t="n">
        <v>431000000</v>
      </c>
      <c r="P269" s="23" t="n">
        <v>64613000000</v>
      </c>
      <c r="Q269" s="23" t="n">
        <v>10944000000</v>
      </c>
      <c r="R269" s="23" t="n">
        <v>6232000000</v>
      </c>
      <c r="S269" s="4" t="n">
        <v>22.9315286624204</v>
      </c>
    </row>
    <row r="270" customFormat="false" ht="15" hidden="false" customHeight="false" outlineLevel="0" collapsed="false">
      <c r="A270" s="4" t="s">
        <v>307</v>
      </c>
      <c r="B270" s="4" t="n">
        <v>2022</v>
      </c>
      <c r="C270" s="4" t="s">
        <v>574</v>
      </c>
      <c r="D270" s="23" t="n">
        <v>26323000000</v>
      </c>
      <c r="E270" s="23" t="n">
        <v>19917000000</v>
      </c>
      <c r="F270" s="23" t="n">
        <v>9566000000</v>
      </c>
      <c r="G270" s="23" t="n">
        <v>12169000000</v>
      </c>
      <c r="H270" s="23" t="n">
        <v>6552000000</v>
      </c>
      <c r="I270" s="4" t="n">
        <v>12.11</v>
      </c>
      <c r="J270" s="23" t="n">
        <v>541000000</v>
      </c>
      <c r="K270" s="23" t="n">
        <v>1406000000</v>
      </c>
      <c r="L270" s="23" t="n">
        <v>9721000000</v>
      </c>
      <c r="M270" s="23" t="n">
        <v>-936000000</v>
      </c>
      <c r="N270" s="23" t="n">
        <v>8785000000</v>
      </c>
      <c r="O270" s="23" t="n">
        <v>401000000</v>
      </c>
      <c r="P270" s="23" t="n">
        <v>38945000000</v>
      </c>
      <c r="Q270" s="23" t="n">
        <v>9305000000</v>
      </c>
      <c r="R270" s="23" t="n">
        <v>3661000000</v>
      </c>
      <c r="S270" s="4" t="n">
        <v>21.5632183908046</v>
      </c>
    </row>
    <row r="271" customFormat="false" ht="15" hidden="false" customHeight="false" outlineLevel="0" collapsed="false">
      <c r="A271" s="4" t="s">
        <v>307</v>
      </c>
      <c r="B271" s="4" t="n">
        <v>2021</v>
      </c>
      <c r="C271" s="4" t="s">
        <v>575</v>
      </c>
      <c r="D271" s="23" t="n">
        <v>25979000000</v>
      </c>
      <c r="E271" s="23" t="n">
        <v>19525000000</v>
      </c>
      <c r="F271" s="23" t="n">
        <v>7639000000</v>
      </c>
      <c r="G271" s="23" t="n">
        <v>11296000000</v>
      </c>
      <c r="H271" s="23" t="n">
        <v>5893000000</v>
      </c>
      <c r="I271" s="4" t="n">
        <v>10.28</v>
      </c>
      <c r="J271" s="23" t="n">
        <v>573000000</v>
      </c>
      <c r="K271" s="23" t="n">
        <v>1197000000</v>
      </c>
      <c r="L271" s="23" t="n">
        <v>9261000000</v>
      </c>
      <c r="M271" s="23" t="n">
        <v>-880000000</v>
      </c>
      <c r="N271" s="23" t="n">
        <v>8381000000</v>
      </c>
      <c r="O271" s="23" t="n">
        <v>341000000</v>
      </c>
      <c r="P271" s="23" t="n">
        <v>33309000000</v>
      </c>
      <c r="Q271" s="23" t="n">
        <v>8037000000</v>
      </c>
      <c r="R271" s="23" t="n">
        <v>6700000000</v>
      </c>
      <c r="S271" s="4" t="n">
        <v>21.757253384913</v>
      </c>
    </row>
    <row r="272" customFormat="false" ht="15" hidden="false" customHeight="false" outlineLevel="0" collapsed="false">
      <c r="A272" s="4" t="s">
        <v>310</v>
      </c>
      <c r="B272" s="4" t="n">
        <v>2026</v>
      </c>
      <c r="C272" s="4" t="s">
        <v>312</v>
      </c>
      <c r="D272" s="23" t="n">
        <v>4920000000</v>
      </c>
      <c r="E272" s="23" t="n">
        <v>4550000000</v>
      </c>
      <c r="F272" s="23" t="n">
        <v>908000000</v>
      </c>
      <c r="G272" s="23" t="n">
        <v>1406000000</v>
      </c>
      <c r="H272" s="23" t="n">
        <v>904000000</v>
      </c>
      <c r="I272" s="4" t="n">
        <v>0.85</v>
      </c>
      <c r="J272" s="23" t="n">
        <v>1068000000</v>
      </c>
      <c r="K272" s="23" t="n">
        <v>0</v>
      </c>
      <c r="L272" s="23" t="n">
        <v>1524000000</v>
      </c>
      <c r="M272" s="23" t="n">
        <v>-545000000</v>
      </c>
      <c r="N272" s="23" t="n">
        <v>979000000</v>
      </c>
      <c r="O272" s="23" t="n">
        <v>1052000000</v>
      </c>
      <c r="P272" s="23" t="n">
        <v>457000000</v>
      </c>
      <c r="Q272" s="23" t="n">
        <v>3601000000</v>
      </c>
      <c r="R272" s="23" t="n">
        <v>8286000000</v>
      </c>
      <c r="S272" s="4" t="n">
        <v>177.976470588235</v>
      </c>
    </row>
    <row r="273" customFormat="false" ht="15" hidden="false" customHeight="false" outlineLevel="0" collapsed="false">
      <c r="A273" s="4" t="s">
        <v>310</v>
      </c>
      <c r="B273" s="4" t="n">
        <v>2025</v>
      </c>
      <c r="C273" s="4" t="s">
        <v>620</v>
      </c>
      <c r="D273" s="23" t="n">
        <v>4007000000</v>
      </c>
      <c r="E273" s="23" t="n">
        <v>3801000000</v>
      </c>
      <c r="F273" s="23" t="n">
        <v>827000000</v>
      </c>
      <c r="G273" s="23" t="n">
        <v>903000000</v>
      </c>
      <c r="H273" s="23" t="n">
        <v>792000000</v>
      </c>
      <c r="I273" s="4" t="n">
        <v>0.75</v>
      </c>
      <c r="J273" s="23" t="n">
        <v>1063000000</v>
      </c>
      <c r="K273" s="23" t="n">
        <v>0</v>
      </c>
      <c r="L273" s="23" t="n">
        <v>397000000</v>
      </c>
      <c r="M273" s="23" t="n">
        <v>-219000000</v>
      </c>
      <c r="N273" s="23" t="n">
        <v>178000000</v>
      </c>
      <c r="O273" s="23" t="n">
        <v>820000000</v>
      </c>
      <c r="P273" s="23" t="n">
        <v>356000000</v>
      </c>
      <c r="Q273" s="23" t="n">
        <v>2825000000</v>
      </c>
      <c r="R273" s="23" t="n">
        <v>6839000000</v>
      </c>
      <c r="S273" s="4" t="n">
        <v>142.386666666667</v>
      </c>
    </row>
    <row r="274" customFormat="false" ht="15" hidden="false" customHeight="false" outlineLevel="0" collapsed="false">
      <c r="A274" s="4" t="s">
        <v>310</v>
      </c>
      <c r="B274" s="4" t="n">
        <v>2024</v>
      </c>
      <c r="C274" s="4" t="s">
        <v>621</v>
      </c>
      <c r="D274" s="23" t="n">
        <v>3233000000</v>
      </c>
      <c r="E274" s="23" t="n">
        <v>2999000000</v>
      </c>
      <c r="F274" s="23" t="n">
        <v>99000000</v>
      </c>
      <c r="G274" s="23" t="n">
        <v>374000000</v>
      </c>
      <c r="H274" s="23" t="n">
        <v>306000000</v>
      </c>
      <c r="I274" s="4" t="n">
        <v>0.29</v>
      </c>
      <c r="J274" s="23" t="n">
        <v>1044497032</v>
      </c>
      <c r="K274" s="23" t="n">
        <v>0</v>
      </c>
      <c r="L274" s="23" t="n">
        <v>1090000000</v>
      </c>
      <c r="M274" s="23" t="n">
        <v>-143000000</v>
      </c>
      <c r="N274" s="23" t="n">
        <v>947000000</v>
      </c>
      <c r="O274" s="23" t="n">
        <v>1037000000</v>
      </c>
      <c r="P274" s="23" t="n">
        <v>226000000</v>
      </c>
      <c r="Q274" s="23" t="n">
        <v>2923000000</v>
      </c>
      <c r="R274" s="23" t="n">
        <v>5295000000</v>
      </c>
      <c r="S274" s="4" t="n">
        <v>423.033333333333</v>
      </c>
    </row>
    <row r="275" customFormat="false" ht="15" hidden="false" customHeight="false" outlineLevel="0" collapsed="false">
      <c r="A275" s="4" t="s">
        <v>310</v>
      </c>
      <c r="B275" s="4" t="n">
        <v>2023</v>
      </c>
      <c r="C275" s="4" t="s">
        <v>622</v>
      </c>
      <c r="D275" s="23" t="n">
        <v>2679000000</v>
      </c>
      <c r="E275" s="23" t="n">
        <v>2484000000</v>
      </c>
      <c r="F275" s="23" t="n">
        <v>678000000</v>
      </c>
      <c r="G275" s="23" t="n">
        <v>841000000</v>
      </c>
      <c r="H275" s="23" t="n">
        <v>524000000</v>
      </c>
      <c r="I275" s="4" t="n">
        <v>0.51</v>
      </c>
      <c r="J275" s="23" t="n">
        <v>1026054856</v>
      </c>
      <c r="K275" s="23" t="n">
        <v>0</v>
      </c>
      <c r="L275" s="23" t="n">
        <v>739000000</v>
      </c>
      <c r="M275" s="23" t="n">
        <v>-93000000</v>
      </c>
      <c r="N275" s="23" t="n">
        <v>646000000</v>
      </c>
      <c r="O275" s="23" t="n">
        <v>79000000</v>
      </c>
      <c r="P275" s="23" t="n">
        <v>219000000</v>
      </c>
      <c r="Q275" s="23" t="n">
        <v>2215000000</v>
      </c>
      <c r="R275" s="23" t="n">
        <v>4051000000</v>
      </c>
      <c r="S275" s="4" t="n">
        <v>119.117647058824</v>
      </c>
    </row>
    <row r="276" customFormat="false" ht="15" hidden="false" customHeight="false" outlineLevel="0" collapsed="false">
      <c r="A276" s="4" t="s">
        <v>310</v>
      </c>
      <c r="B276" s="4" t="n">
        <v>2022</v>
      </c>
      <c r="C276" s="4" t="s">
        <v>623</v>
      </c>
      <c r="D276" s="23" t="n">
        <v>2703000000</v>
      </c>
      <c r="E276" s="23" t="n">
        <v>2483000000</v>
      </c>
      <c r="F276" s="23" t="n">
        <v>680000000</v>
      </c>
      <c r="G276" s="23" t="n">
        <v>971000000</v>
      </c>
      <c r="H276" s="23" t="n">
        <v>549000000</v>
      </c>
      <c r="I276" s="4" t="n">
        <v>0.54</v>
      </c>
      <c r="J276" s="23" t="n">
        <v>1026054856</v>
      </c>
      <c r="K276" s="23" t="n">
        <v>0</v>
      </c>
      <c r="L276" s="23" t="n">
        <v>458000000</v>
      </c>
      <c r="M276" s="23" t="n">
        <v>-75000000</v>
      </c>
      <c r="N276" s="23" t="n">
        <v>383000000</v>
      </c>
      <c r="O276" s="23" t="n">
        <v>26000000</v>
      </c>
      <c r="P276" s="23"/>
      <c r="Q276" s="23"/>
      <c r="R276" s="23"/>
      <c r="S276" s="4" t="n">
        <v>112.5</v>
      </c>
    </row>
    <row r="277" customFormat="false" ht="15" hidden="false" customHeight="false" outlineLevel="0" collapsed="false">
      <c r="A277" s="4" t="s">
        <v>314</v>
      </c>
      <c r="B277" s="4" t="n">
        <v>2025</v>
      </c>
      <c r="C277" s="4" t="s">
        <v>316</v>
      </c>
      <c r="D277" s="23" t="n">
        <v>63887000000</v>
      </c>
      <c r="E277" s="23" t="n">
        <v>43294000000</v>
      </c>
      <c r="F277" s="23" t="n">
        <v>25484000000</v>
      </c>
      <c r="G277" s="23" t="n">
        <v>34714000000</v>
      </c>
      <c r="H277" s="23" t="n">
        <v>23126000000</v>
      </c>
      <c r="I277" s="4" t="n">
        <v>4.77</v>
      </c>
      <c r="J277" s="23" t="n">
        <v>4853000000</v>
      </c>
      <c r="K277" s="23" t="n">
        <v>3210000000</v>
      </c>
      <c r="L277" s="23" t="n">
        <v>27537000000</v>
      </c>
      <c r="M277" s="23" t="n">
        <v>-623000000</v>
      </c>
      <c r="N277" s="23" t="n">
        <v>26914000000</v>
      </c>
      <c r="O277" s="23" t="n">
        <v>7568000000</v>
      </c>
      <c r="P277" s="23" t="n">
        <v>65136000000</v>
      </c>
      <c r="Q277" s="23" t="n">
        <v>16178000000</v>
      </c>
      <c r="R277" s="23" t="n">
        <v>81292000000</v>
      </c>
      <c r="S277" s="4" t="n">
        <v>73.8391038696538</v>
      </c>
    </row>
    <row r="278" customFormat="false" ht="15" hidden="false" customHeight="false" outlineLevel="0" collapsed="false">
      <c r="A278" s="4" t="s">
        <v>314</v>
      </c>
      <c r="B278" s="4" t="n">
        <v>2024</v>
      </c>
      <c r="C278" s="4" t="s">
        <v>624</v>
      </c>
      <c r="D278" s="23" t="n">
        <v>51574000000</v>
      </c>
      <c r="E278" s="23" t="n">
        <v>32509000000</v>
      </c>
      <c r="F278" s="23" t="n">
        <v>13463000000</v>
      </c>
      <c r="G278" s="23" t="n">
        <v>23879000000</v>
      </c>
      <c r="H278" s="23" t="n">
        <v>5895000000</v>
      </c>
      <c r="I278" s="4" t="n">
        <v>1.23</v>
      </c>
      <c r="J278" s="23" t="n">
        <v>4778000000</v>
      </c>
      <c r="K278" s="23" t="n">
        <v>3953000000</v>
      </c>
      <c r="L278" s="23" t="n">
        <v>19962000000</v>
      </c>
      <c r="M278" s="23" t="n">
        <v>-548000000</v>
      </c>
      <c r="N278" s="23" t="n">
        <v>19414000000</v>
      </c>
      <c r="O278" s="23" t="n">
        <v>5741000000</v>
      </c>
      <c r="P278" s="23" t="n">
        <v>67566000000</v>
      </c>
      <c r="Q278" s="23" t="n">
        <v>9348000000</v>
      </c>
      <c r="R278" s="23" t="n">
        <v>67678000000</v>
      </c>
      <c r="S278" s="4" t="n">
        <v>132.716535433071</v>
      </c>
    </row>
    <row r="279" customFormat="false" ht="15" hidden="false" customHeight="false" outlineLevel="0" collapsed="false">
      <c r="A279" s="4" t="s">
        <v>314</v>
      </c>
      <c r="B279" s="4" t="n">
        <v>2023</v>
      </c>
      <c r="C279" s="4" t="s">
        <v>625</v>
      </c>
      <c r="D279" s="23" t="n">
        <v>35819000000</v>
      </c>
      <c r="E279" s="23" t="n">
        <v>24690000000</v>
      </c>
      <c r="F279" s="23" t="n">
        <v>16207000000</v>
      </c>
      <c r="G279" s="23" t="n">
        <v>20554000000</v>
      </c>
      <c r="H279" s="23" t="n">
        <v>14082000000</v>
      </c>
      <c r="I279" s="4" t="n">
        <v>3.3</v>
      </c>
      <c r="J279" s="23" t="n">
        <v>4270000000</v>
      </c>
      <c r="K279" s="23" t="n">
        <v>1622000000</v>
      </c>
      <c r="L279" s="23" t="n">
        <v>18085000000</v>
      </c>
      <c r="M279" s="23" t="n">
        <v>-452000000</v>
      </c>
      <c r="N279" s="23" t="n">
        <v>17633000000</v>
      </c>
      <c r="O279" s="23" t="n">
        <v>2171000000</v>
      </c>
      <c r="P279" s="23" t="n">
        <v>39648000000</v>
      </c>
      <c r="Q279" s="23" t="n">
        <v>14189000000</v>
      </c>
      <c r="R279" s="23" t="n">
        <v>23988000000</v>
      </c>
      <c r="S279" s="4" t="n">
        <v>24.8171091445428</v>
      </c>
    </row>
    <row r="280" customFormat="false" ht="15" hidden="false" customHeight="false" outlineLevel="0" collapsed="false">
      <c r="A280" s="4" t="s">
        <v>314</v>
      </c>
      <c r="B280" s="4" t="n">
        <v>2022</v>
      </c>
      <c r="C280" s="4" t="s">
        <v>626</v>
      </c>
      <c r="D280" s="23" t="n">
        <v>33203000000</v>
      </c>
      <c r="E280" s="23" t="n">
        <v>22095000000</v>
      </c>
      <c r="F280" s="23" t="n">
        <v>14225000000</v>
      </c>
      <c r="G280" s="23" t="n">
        <v>19155000000</v>
      </c>
      <c r="H280" s="23" t="n">
        <v>11495000000</v>
      </c>
      <c r="I280" s="4" t="n">
        <v>2.65</v>
      </c>
      <c r="J280" s="23" t="n">
        <v>4230000000</v>
      </c>
      <c r="K280" s="23" t="n">
        <v>1737000000</v>
      </c>
      <c r="L280" s="23" t="n">
        <v>16736000000</v>
      </c>
      <c r="M280" s="23" t="n">
        <v>-424000000</v>
      </c>
      <c r="N280" s="23" t="n">
        <v>16312000000</v>
      </c>
      <c r="O280" s="23" t="n">
        <v>1533000000</v>
      </c>
      <c r="P280" s="23" t="n">
        <v>39978000000</v>
      </c>
      <c r="Q280" s="23" t="n">
        <v>12416000000</v>
      </c>
      <c r="R280" s="23" t="n">
        <v>22709000000</v>
      </c>
      <c r="S280" s="4" t="n">
        <v>17.1569343065693</v>
      </c>
    </row>
    <row r="281" customFormat="false" ht="15" hidden="false" customHeight="false" outlineLevel="0" collapsed="false">
      <c r="A281" s="4" t="s">
        <v>314</v>
      </c>
      <c r="B281" s="4" t="n">
        <v>2021</v>
      </c>
      <c r="C281" s="4" t="s">
        <v>627</v>
      </c>
      <c r="D281" s="23" t="n">
        <v>27450000000</v>
      </c>
      <c r="E281" s="23" t="n">
        <v>16844000000</v>
      </c>
      <c r="F281" s="23" t="n">
        <v>8519000000</v>
      </c>
      <c r="G281" s="23" t="n">
        <v>14691000000</v>
      </c>
      <c r="H281" s="23" t="n">
        <v>6736000000</v>
      </c>
      <c r="I281" s="4" t="n">
        <v>1.5</v>
      </c>
      <c r="J281" s="23" t="n">
        <v>4290000000</v>
      </c>
      <c r="K281" s="23" t="n">
        <v>1885000000</v>
      </c>
      <c r="L281" s="23" t="n">
        <v>13764000000</v>
      </c>
      <c r="M281" s="23" t="n">
        <v>-443000000</v>
      </c>
      <c r="N281" s="23" t="n">
        <v>13321000000</v>
      </c>
      <c r="O281" s="23" t="n">
        <v>1704000000</v>
      </c>
      <c r="P281" s="23" t="n">
        <v>40273000000</v>
      </c>
      <c r="Q281" s="23" t="n">
        <v>12163000000</v>
      </c>
      <c r="R281" s="23" t="n">
        <v>24989000000</v>
      </c>
      <c r="S281" s="4" t="n">
        <v>33.6369426751592</v>
      </c>
    </row>
    <row r="282" customFormat="false" ht="15" hidden="false" customHeight="false" outlineLevel="0" collapsed="false">
      <c r="A282" s="4" t="s">
        <v>318</v>
      </c>
      <c r="B282" s="4" t="n">
        <v>2025</v>
      </c>
      <c r="C282" s="4" t="s">
        <v>103</v>
      </c>
      <c r="D282" s="23" t="n">
        <v>48195000000</v>
      </c>
      <c r="E282" s="23" t="n">
        <v>34259000000</v>
      </c>
      <c r="F282" s="23" t="n">
        <v>13724000000</v>
      </c>
      <c r="G282" s="23" t="n">
        <v>15230000000</v>
      </c>
      <c r="H282" s="23" t="n">
        <v>7054000000</v>
      </c>
      <c r="I282" s="4" t="n">
        <v>3.45</v>
      </c>
      <c r="J282" s="23" t="n">
        <v>2041000000</v>
      </c>
      <c r="K282" s="23" t="n">
        <v>1891000000</v>
      </c>
      <c r="L282" s="23" t="n">
        <v>14156000000</v>
      </c>
      <c r="M282" s="23" t="n">
        <v>-1311000000</v>
      </c>
      <c r="N282" s="23" t="n">
        <v>12845000000</v>
      </c>
      <c r="O282" s="23" t="n">
        <v>553000000</v>
      </c>
      <c r="P282" s="23" t="n">
        <v>47139000000</v>
      </c>
      <c r="Q282" s="23" t="n">
        <v>10673000000</v>
      </c>
      <c r="R282" s="23" t="n">
        <v>18506000000</v>
      </c>
      <c r="S282" s="4" t="n">
        <v>15.5895953757225</v>
      </c>
    </row>
    <row r="283" customFormat="false" ht="15" hidden="false" customHeight="false" outlineLevel="0" collapsed="false">
      <c r="A283" s="4" t="s">
        <v>318</v>
      </c>
      <c r="B283" s="4" t="n">
        <v>2024</v>
      </c>
      <c r="C283" s="4" t="s">
        <v>572</v>
      </c>
      <c r="D283" s="23" t="n">
        <v>48300000000</v>
      </c>
      <c r="E283" s="23" t="n">
        <v>34332000000</v>
      </c>
      <c r="F283" s="23" t="n">
        <v>5887000000</v>
      </c>
      <c r="G283" s="23" t="n">
        <v>3168000000</v>
      </c>
      <c r="H283" s="23" t="n">
        <v>-8948000000</v>
      </c>
      <c r="I283" s="4" t="n">
        <v>-4.41</v>
      </c>
      <c r="J283" s="23" t="n">
        <v>2027000000</v>
      </c>
      <c r="K283" s="23" t="n">
        <v>1947000000</v>
      </c>
      <c r="L283" s="23" t="n">
        <v>15190000000</v>
      </c>
      <c r="M283" s="23" t="n">
        <v>-1248000000</v>
      </c>
      <c r="N283" s="23" t="n">
        <v>13942000000</v>
      </c>
      <c r="O283" s="23" t="n">
        <v>507000000</v>
      </c>
      <c r="P283" s="23" t="n">
        <v>51200000000</v>
      </c>
      <c r="Q283" s="23" t="n">
        <v>10859000000</v>
      </c>
      <c r="R283" s="23" t="n">
        <v>16388000000</v>
      </c>
      <c r="S283" s="4" t="n">
        <v>-12.8253968253968</v>
      </c>
    </row>
    <row r="284" customFormat="false" ht="15" hidden="false" customHeight="false" outlineLevel="0" collapsed="false">
      <c r="A284" s="4" t="s">
        <v>318</v>
      </c>
      <c r="B284" s="4" t="n">
        <v>2023</v>
      </c>
      <c r="C284" s="4" t="s">
        <v>573</v>
      </c>
      <c r="D284" s="23" t="n">
        <v>45006000000</v>
      </c>
      <c r="E284" s="23" t="n">
        <v>34313000000</v>
      </c>
      <c r="F284" s="23" t="n">
        <v>8195000000</v>
      </c>
      <c r="G284" s="23" t="n">
        <v>19366000000</v>
      </c>
      <c r="H284" s="23" t="n">
        <v>8025000000</v>
      </c>
      <c r="I284" s="4" t="n">
        <v>3.86</v>
      </c>
      <c r="J284" s="23" t="n">
        <v>2078000000</v>
      </c>
      <c r="K284" s="23" t="n">
        <v>1166000000</v>
      </c>
      <c r="L284" s="23" t="n">
        <v>13860000000</v>
      </c>
      <c r="M284" s="23" t="n">
        <v>-1209000000</v>
      </c>
      <c r="N284" s="23" t="n">
        <v>12651000000</v>
      </c>
      <c r="O284" s="23" t="n">
        <v>518000000</v>
      </c>
      <c r="P284" s="23" t="n">
        <v>41464000000</v>
      </c>
      <c r="Q284" s="23" t="n">
        <v>12280000000</v>
      </c>
      <c r="R284" s="23" t="n">
        <v>29485000000</v>
      </c>
      <c r="S284" s="4" t="n">
        <v>13.2242268041237</v>
      </c>
    </row>
    <row r="285" customFormat="false" ht="15" hidden="false" customHeight="false" outlineLevel="0" collapsed="false">
      <c r="A285" s="4" t="s">
        <v>318</v>
      </c>
      <c r="B285" s="4" t="n">
        <v>2022</v>
      </c>
      <c r="C285" s="4" t="s">
        <v>574</v>
      </c>
      <c r="D285" s="23" t="n">
        <v>46159000000</v>
      </c>
      <c r="E285" s="23" t="n">
        <v>36022000000</v>
      </c>
      <c r="F285" s="23" t="n">
        <v>9104000000</v>
      </c>
      <c r="G285" s="23" t="n">
        <v>19221000000</v>
      </c>
      <c r="H285" s="23" t="n">
        <v>6327000000</v>
      </c>
      <c r="I285" s="4" t="n">
        <v>2.95</v>
      </c>
      <c r="J285" s="23" t="n">
        <v>2146000000</v>
      </c>
      <c r="K285" s="23" t="n">
        <v>1232000000</v>
      </c>
      <c r="L285" s="23" t="n">
        <v>13066000000</v>
      </c>
      <c r="M285" s="23" t="n">
        <v>-1118000000</v>
      </c>
      <c r="N285" s="23" t="n">
        <v>11948000000</v>
      </c>
      <c r="O285" s="23" t="n">
        <v>457000000</v>
      </c>
      <c r="P285" s="23" t="n">
        <v>40717000000</v>
      </c>
      <c r="Q285" s="23" t="n">
        <v>9253000000</v>
      </c>
      <c r="R285" s="23" t="n">
        <v>31118000000</v>
      </c>
      <c r="S285" s="4" t="n">
        <v>24.2255892255892</v>
      </c>
    </row>
    <row r="286" customFormat="false" ht="15" hidden="false" customHeight="false" outlineLevel="0" collapsed="false">
      <c r="A286" s="4" t="s">
        <v>318</v>
      </c>
      <c r="B286" s="4" t="n">
        <v>2021</v>
      </c>
      <c r="C286" s="4" t="s">
        <v>575</v>
      </c>
      <c r="D286" s="23" t="n">
        <v>46385000000</v>
      </c>
      <c r="E286" s="23" t="n">
        <v>36445000000</v>
      </c>
      <c r="F286" s="23" t="n">
        <v>8537000000</v>
      </c>
      <c r="G286" s="23" t="n">
        <v>20118000000</v>
      </c>
      <c r="H286" s="23" t="n">
        <v>6994000000</v>
      </c>
      <c r="I286" s="4" t="n">
        <v>3.12</v>
      </c>
      <c r="J286" s="23" t="n">
        <v>2245000000</v>
      </c>
      <c r="K286" s="23" t="n">
        <v>1334000000</v>
      </c>
      <c r="L286" s="23" t="n">
        <v>16207000000</v>
      </c>
      <c r="M286" s="23" t="n">
        <v>-973000000</v>
      </c>
      <c r="N286" s="23" t="n">
        <v>15234000000</v>
      </c>
      <c r="O286" s="23" t="n">
        <v>583000000</v>
      </c>
      <c r="P286" s="23" t="n">
        <v>45596000000</v>
      </c>
      <c r="Q286" s="23" t="n">
        <v>17221000000</v>
      </c>
      <c r="R286" s="23" t="n">
        <v>36006000000</v>
      </c>
      <c r="S286" s="4" t="n">
        <v>19.7936507936508</v>
      </c>
    </row>
    <row r="287" customFormat="false" ht="15" hidden="false" customHeight="false" outlineLevel="0" collapsed="false">
      <c r="A287" s="4" t="s">
        <v>321</v>
      </c>
      <c r="B287" s="4" t="n">
        <v>2025</v>
      </c>
      <c r="C287" s="4" t="s">
        <v>103</v>
      </c>
      <c r="D287" s="23" t="n">
        <v>13828896000</v>
      </c>
      <c r="E287" s="23" t="n">
        <v>11899653000</v>
      </c>
      <c r="F287" s="23" t="n">
        <v>7178286000</v>
      </c>
      <c r="G287" s="23" t="n">
        <v>7214309000</v>
      </c>
      <c r="H287" s="23" t="n">
        <v>3019214000</v>
      </c>
      <c r="I287" s="4" t="n">
        <v>3.88</v>
      </c>
      <c r="J287" s="23" t="n">
        <v>780924000</v>
      </c>
      <c r="K287" s="23" t="n">
        <v>508314000</v>
      </c>
      <c r="L287" s="23" t="n">
        <v>1860601000</v>
      </c>
      <c r="M287" s="23" t="n">
        <v>-115703000</v>
      </c>
      <c r="N287" s="23" t="n">
        <v>1744898000</v>
      </c>
      <c r="O287" s="23" t="n">
        <v>1948679000</v>
      </c>
      <c r="P287" s="23" t="n">
        <v>13306165000</v>
      </c>
      <c r="Q287" s="23" t="n">
        <v>2631241000</v>
      </c>
      <c r="R287" s="23" t="n">
        <v>21881172000</v>
      </c>
      <c r="S287" s="4" t="n">
        <v>39.7268041237113</v>
      </c>
    </row>
    <row r="288" customFormat="false" ht="15" hidden="false" customHeight="false" outlineLevel="0" collapsed="false">
      <c r="A288" s="4" t="s">
        <v>321</v>
      </c>
      <c r="B288" s="4" t="n">
        <v>2024</v>
      </c>
      <c r="C288" s="4" t="s">
        <v>572</v>
      </c>
      <c r="D288" s="23" t="n">
        <v>11374228000</v>
      </c>
      <c r="E288" s="23" t="n">
        <v>10930540000</v>
      </c>
      <c r="F288" s="23" t="n">
        <v>6459480000</v>
      </c>
      <c r="G288" s="23" t="n">
        <v>6495445000</v>
      </c>
      <c r="H288" s="23" t="n">
        <v>2776508000</v>
      </c>
      <c r="I288" s="4" t="n">
        <v>3.62</v>
      </c>
      <c r="J288" s="23" t="n">
        <v>766646508</v>
      </c>
      <c r="K288" s="23" t="n">
        <v>443688000</v>
      </c>
      <c r="L288" s="23" t="n">
        <v>3481662000</v>
      </c>
      <c r="M288" s="23" t="n">
        <v>-61409000</v>
      </c>
      <c r="N288" s="23" t="n">
        <v>3420253000</v>
      </c>
      <c r="O288" s="23" t="n">
        <v>0</v>
      </c>
      <c r="P288" s="23" t="n">
        <v>12286698000</v>
      </c>
      <c r="Q288" s="23" t="n">
        <v>1972140000</v>
      </c>
      <c r="R288" s="23" t="n">
        <v>19495015000</v>
      </c>
      <c r="S288" s="4" t="n">
        <v>47.6298342541436</v>
      </c>
    </row>
    <row r="289" customFormat="false" ht="15" hidden="false" customHeight="false" outlineLevel="0" collapsed="false">
      <c r="A289" s="4" t="s">
        <v>321</v>
      </c>
      <c r="B289" s="4" t="n">
        <v>2023</v>
      </c>
      <c r="C289" s="4" t="s">
        <v>573</v>
      </c>
      <c r="D289" s="23" t="n">
        <v>7438517000</v>
      </c>
      <c r="E289" s="23" t="n">
        <v>7006649000</v>
      </c>
      <c r="F289" s="23" t="n">
        <v>2957714000</v>
      </c>
      <c r="G289" s="23" t="n">
        <v>2997789000</v>
      </c>
      <c r="H289" s="23" t="n">
        <v>1390880000</v>
      </c>
      <c r="I289" s="4" t="n">
        <v>1.84</v>
      </c>
      <c r="J289" s="23" t="n">
        <v>755419936</v>
      </c>
      <c r="K289" s="23" t="n">
        <v>431868000</v>
      </c>
      <c r="L289" s="23" t="n">
        <v>4056906000</v>
      </c>
      <c r="M289" s="23" t="n">
        <v>-224231000</v>
      </c>
      <c r="N289" s="23" t="n">
        <v>3832675000</v>
      </c>
      <c r="O289" s="23" t="n">
        <v>0</v>
      </c>
      <c r="P289" s="23" t="n">
        <v>12293882000</v>
      </c>
      <c r="Q289" s="23" t="n">
        <v>2955866000</v>
      </c>
      <c r="R289" s="23" t="n">
        <v>18075214000</v>
      </c>
      <c r="S289" s="4" t="n">
        <v>69.7119565217391</v>
      </c>
    </row>
    <row r="290" customFormat="false" ht="15" hidden="false" customHeight="false" outlineLevel="0" collapsed="false">
      <c r="A290" s="4" t="s">
        <v>321</v>
      </c>
      <c r="B290" s="4" t="n">
        <v>2022</v>
      </c>
      <c r="C290" s="4" t="s">
        <v>574</v>
      </c>
      <c r="D290" s="23" t="n">
        <v>7449857000</v>
      </c>
      <c r="E290" s="23" t="n">
        <v>7132632000</v>
      </c>
      <c r="F290" s="23" t="n">
        <v>3461789000</v>
      </c>
      <c r="G290" s="23" t="n">
        <v>3528886000</v>
      </c>
      <c r="H290" s="23" t="n">
        <v>1747631000</v>
      </c>
      <c r="I290" s="4" t="n">
        <v>2.36</v>
      </c>
      <c r="J290" s="23" t="n">
        <v>740942399</v>
      </c>
      <c r="K290" s="23" t="n">
        <v>317225000</v>
      </c>
      <c r="L290" s="23" t="n">
        <v>6336253000</v>
      </c>
      <c r="M290" s="23" t="n">
        <v>-235497000</v>
      </c>
      <c r="N290" s="23" t="n">
        <v>6100756000</v>
      </c>
      <c r="O290" s="23" t="n">
        <v>0</v>
      </c>
      <c r="P290" s="23" t="n">
        <v>13371038000</v>
      </c>
      <c r="Q290" s="23" t="n">
        <v>4252003000</v>
      </c>
      <c r="R290" s="23" t="n">
        <v>19681067000</v>
      </c>
      <c r="S290" s="4" t="n">
        <v>31.4364406779661</v>
      </c>
    </row>
    <row r="291" customFormat="false" ht="15" hidden="false" customHeight="false" outlineLevel="0" collapsed="false">
      <c r="A291" s="4" t="s">
        <v>321</v>
      </c>
      <c r="B291" s="4" t="n">
        <v>2021</v>
      </c>
      <c r="C291" s="4" t="s">
        <v>575</v>
      </c>
      <c r="D291" s="23" t="n">
        <v>16850619000</v>
      </c>
      <c r="E291" s="23" t="n">
        <v>16652351000</v>
      </c>
      <c r="F291" s="23" t="n">
        <v>13559396000</v>
      </c>
      <c r="G291" s="23" t="n">
        <v>13634267000</v>
      </c>
      <c r="H291" s="23" t="n">
        <v>5857397000</v>
      </c>
      <c r="I291" s="4" t="n">
        <v>8.13</v>
      </c>
      <c r="J291" s="23" t="n">
        <v>720125043</v>
      </c>
      <c r="K291" s="23" t="n">
        <v>198268000</v>
      </c>
      <c r="L291" s="23" t="n">
        <v>3985988000</v>
      </c>
      <c r="M291" s="23" t="n">
        <v>-64316000</v>
      </c>
      <c r="N291" s="23" t="n">
        <v>3921672000</v>
      </c>
      <c r="O291" s="23" t="n">
        <v>0</v>
      </c>
      <c r="P291" s="23" t="n">
        <v>8714176000</v>
      </c>
      <c r="Q291" s="23" t="n">
        <v>2119738000</v>
      </c>
      <c r="R291" s="23" t="n">
        <v>21706046000</v>
      </c>
      <c r="S291" s="4" t="n">
        <v>15.8955773955774</v>
      </c>
    </row>
    <row r="292" customFormat="false" ht="15" hidden="false" customHeight="false" outlineLevel="0" collapsed="false">
      <c r="A292" s="4" t="s">
        <v>325</v>
      </c>
      <c r="B292" s="4" t="n">
        <v>2025</v>
      </c>
      <c r="C292" s="4" t="s">
        <v>103</v>
      </c>
      <c r="D292" s="23" t="n">
        <v>168285000000</v>
      </c>
      <c r="E292" s="23" t="n">
        <v>75047000000</v>
      </c>
      <c r="F292" s="23" t="n">
        <v>19828000000</v>
      </c>
      <c r="G292" s="23" t="n">
        <v>24201000000</v>
      </c>
      <c r="H292" s="23" t="n">
        <v>14306000000</v>
      </c>
      <c r="I292" s="4" t="n">
        <v>6.99</v>
      </c>
      <c r="J292" s="23" t="n">
        <v>1862600000</v>
      </c>
      <c r="K292" s="23" t="n">
        <v>83072000000</v>
      </c>
      <c r="L292" s="23" t="n">
        <v>-67632000000</v>
      </c>
      <c r="M292" s="23" t="n">
        <v>-6520000000</v>
      </c>
      <c r="N292" s="23" t="n">
        <v>-74152000000</v>
      </c>
      <c r="O292" s="23" t="n">
        <v>0</v>
      </c>
      <c r="P292" s="23" t="n">
        <v>715803000000</v>
      </c>
      <c r="Q292" s="23" t="n">
        <v>675441000000</v>
      </c>
      <c r="R292" s="23" t="n">
        <v>213822000000</v>
      </c>
      <c r="S292" s="4" t="n">
        <v>16.1396957123098</v>
      </c>
    </row>
    <row r="293" customFormat="false" ht="15" hidden="false" customHeight="false" outlineLevel="0" collapsed="false">
      <c r="A293" s="4" t="s">
        <v>325</v>
      </c>
      <c r="B293" s="4" t="n">
        <v>2024</v>
      </c>
      <c r="C293" s="4" t="s">
        <v>572</v>
      </c>
      <c r="D293" s="23" t="n">
        <v>170707000000</v>
      </c>
      <c r="E293" s="23" t="n">
        <v>71120000000</v>
      </c>
      <c r="F293" s="23" t="n">
        <v>17046000000</v>
      </c>
      <c r="G293" s="23" t="n">
        <v>21357000000</v>
      </c>
      <c r="H293" s="23" t="n">
        <v>12682000000</v>
      </c>
      <c r="I293" s="4" t="n">
        <v>5.95</v>
      </c>
      <c r="J293" s="23" t="n">
        <v>1901400000</v>
      </c>
      <c r="K293" s="23" t="n">
        <v>89618000000</v>
      </c>
      <c r="L293" s="23" t="n">
        <v>-19669000000</v>
      </c>
      <c r="M293" s="23" t="n">
        <v>-6500000000</v>
      </c>
      <c r="N293" s="23" t="n">
        <v>-26169000000</v>
      </c>
      <c r="O293" s="23" t="n">
        <v>0</v>
      </c>
      <c r="P293" s="23" t="n">
        <v>590560000000</v>
      </c>
      <c r="Q293" s="23" t="n">
        <v>498019000000</v>
      </c>
      <c r="R293" s="23" t="n">
        <v>209366000000</v>
      </c>
      <c r="S293" s="4" t="n">
        <v>11.6733001658375</v>
      </c>
    </row>
    <row r="294" customFormat="false" ht="15" hidden="false" customHeight="false" outlineLevel="0" collapsed="false">
      <c r="A294" s="4" t="s">
        <v>325</v>
      </c>
      <c r="B294" s="4" t="n">
        <v>2023</v>
      </c>
      <c r="C294" s="4" t="s">
        <v>573</v>
      </c>
      <c r="D294" s="23" t="n">
        <v>155382000000</v>
      </c>
      <c r="E294" s="23" t="n">
        <v>67901000000</v>
      </c>
      <c r="F294" s="23" t="n">
        <v>12910000000</v>
      </c>
      <c r="G294" s="23" t="n">
        <v>17470000000</v>
      </c>
      <c r="H294" s="23" t="n">
        <v>9228000000</v>
      </c>
      <c r="I294" s="4" t="n">
        <v>4.04</v>
      </c>
      <c r="J294" s="23" t="n">
        <v>1955800000</v>
      </c>
      <c r="K294" s="23" t="n">
        <v>78358000000</v>
      </c>
      <c r="L294" s="23" t="n">
        <v>-73416000000</v>
      </c>
      <c r="M294" s="23" t="n">
        <v>-6583000000</v>
      </c>
      <c r="N294" s="23" t="n">
        <v>-79999000000</v>
      </c>
      <c r="O294" s="23" t="n">
        <v>0</v>
      </c>
      <c r="P294" s="23" t="n">
        <v>602183000000</v>
      </c>
      <c r="Q294" s="23" t="n">
        <v>506000000000</v>
      </c>
      <c r="R294" s="23" t="n">
        <v>206251000000</v>
      </c>
      <c r="S294" s="4" t="n">
        <v>12.6388206388206</v>
      </c>
    </row>
    <row r="295" customFormat="false" ht="15" hidden="false" customHeight="false" outlineLevel="0" collapsed="false">
      <c r="A295" s="4" t="s">
        <v>325</v>
      </c>
      <c r="B295" s="4" t="n">
        <v>2022</v>
      </c>
      <c r="C295" s="4" t="s">
        <v>574</v>
      </c>
      <c r="D295" s="23" t="n">
        <v>100220000000</v>
      </c>
      <c r="E295" s="23" t="n">
        <v>69368000000</v>
      </c>
      <c r="F295" s="23" t="n">
        <v>18807000000</v>
      </c>
      <c r="G295" s="23" t="n">
        <v>23069000000</v>
      </c>
      <c r="H295" s="23" t="n">
        <v>14845000000</v>
      </c>
      <c r="I295" s="4" t="n">
        <v>7</v>
      </c>
      <c r="J295" s="23" t="n">
        <v>1964300000</v>
      </c>
      <c r="K295" s="23" t="n">
        <v>25740000000</v>
      </c>
      <c r="L295" s="23" t="n">
        <v>25069000000</v>
      </c>
      <c r="M295" s="23" t="n">
        <v>-5632000000</v>
      </c>
      <c r="N295" s="23" t="n">
        <v>19437000000</v>
      </c>
      <c r="O295" s="23" t="n">
        <v>0</v>
      </c>
      <c r="P295" s="23" t="n">
        <v>521146000000</v>
      </c>
      <c r="Q295" s="23" t="n">
        <v>580771000000</v>
      </c>
      <c r="R295" s="23" t="n">
        <v>201838000000</v>
      </c>
      <c r="S295" s="4" t="n">
        <v>6.42471590909091</v>
      </c>
    </row>
    <row r="296" customFormat="false" ht="15" hidden="false" customHeight="false" outlineLevel="0" collapsed="false">
      <c r="A296" s="4" t="s">
        <v>325</v>
      </c>
      <c r="B296" s="4" t="n">
        <v>2021</v>
      </c>
      <c r="C296" s="4" t="s">
        <v>575</v>
      </c>
      <c r="D296" s="23" t="n">
        <v>79868000000</v>
      </c>
      <c r="E296" s="23" t="n">
        <v>75778000000</v>
      </c>
      <c r="F296" s="23" t="n">
        <v>27469000000</v>
      </c>
      <c r="G296" s="23" t="n">
        <v>31433000000</v>
      </c>
      <c r="H296" s="23" t="n">
        <v>21952000000</v>
      </c>
      <c r="I296" s="4" t="n">
        <v>10.14</v>
      </c>
      <c r="J296" s="23" t="n">
        <v>2049400000</v>
      </c>
      <c r="K296" s="23" t="n">
        <v>7981000000</v>
      </c>
      <c r="L296" s="23" t="n">
        <v>47090000000</v>
      </c>
      <c r="M296" s="23" t="n">
        <v>-4119000000</v>
      </c>
      <c r="N296" s="23" t="n">
        <v>42971000000</v>
      </c>
      <c r="O296" s="23" t="n">
        <v>0</v>
      </c>
      <c r="P296" s="23" t="n">
        <v>473632000000</v>
      </c>
      <c r="Q296" s="23" t="n">
        <v>541329000000</v>
      </c>
      <c r="R296" s="23" t="n">
        <v>202672000000</v>
      </c>
      <c r="S296" s="4" t="n">
        <v>5.91478942213516</v>
      </c>
    </row>
    <row r="297" customFormat="false" ht="15" hidden="false" customHeight="false" outlineLevel="0" collapsed="false">
      <c r="A297" s="4" t="s">
        <v>328</v>
      </c>
      <c r="B297" s="4" t="n">
        <v>2025</v>
      </c>
      <c r="C297" s="4" t="s">
        <v>103</v>
      </c>
      <c r="D297" s="23" t="n">
        <v>58944000000</v>
      </c>
      <c r="E297" s="23" t="n">
        <v>14788000000</v>
      </c>
      <c r="F297" s="23" t="n">
        <v>11342000000</v>
      </c>
      <c r="G297" s="23" t="n">
        <v>25389000000</v>
      </c>
      <c r="H297" s="23" t="n">
        <v>7988000000</v>
      </c>
      <c r="I297" s="4" t="n">
        <v>6.35</v>
      </c>
      <c r="J297" s="23" t="n">
        <v>1253446000</v>
      </c>
      <c r="K297" s="23" t="n">
        <v>1233000000</v>
      </c>
      <c r="L297" s="23" t="n">
        <v>19796000000</v>
      </c>
      <c r="M297" s="23" t="n">
        <v>-12553000000</v>
      </c>
      <c r="N297" s="23" t="n">
        <v>7243000000</v>
      </c>
      <c r="O297" s="23" t="n">
        <v>0</v>
      </c>
      <c r="P297" s="23" t="n">
        <v>23444000000</v>
      </c>
      <c r="Q297" s="23" t="n">
        <v>6981000000</v>
      </c>
      <c r="R297" s="23" t="n">
        <v>64487000000</v>
      </c>
      <c r="S297" s="4" t="n">
        <v>14.7185534591195</v>
      </c>
    </row>
    <row r="298" customFormat="false" ht="15" hidden="false" customHeight="false" outlineLevel="0" collapsed="false">
      <c r="A298" s="4" t="s">
        <v>328</v>
      </c>
      <c r="B298" s="4" t="n">
        <v>2024</v>
      </c>
      <c r="C298" s="4" t="s">
        <v>572</v>
      </c>
      <c r="D298" s="23" t="n">
        <v>54745000000</v>
      </c>
      <c r="E298" s="23" t="n">
        <v>16383000000</v>
      </c>
      <c r="F298" s="23" t="n">
        <v>12783000000</v>
      </c>
      <c r="G298" s="23" t="n">
        <v>24379000000</v>
      </c>
      <c r="H298" s="23" t="n">
        <v>9245000000</v>
      </c>
      <c r="I298" s="4" t="n">
        <v>7.81</v>
      </c>
      <c r="J298" s="23" t="n">
        <v>1180871000</v>
      </c>
      <c r="K298" s="23" t="n">
        <v>1108000000</v>
      </c>
      <c r="L298" s="23" t="n">
        <v>20124000000</v>
      </c>
      <c r="M298" s="23" t="n">
        <v>-12118000000</v>
      </c>
      <c r="N298" s="23" t="n">
        <v>8006000000</v>
      </c>
      <c r="O298" s="23" t="n">
        <v>0</v>
      </c>
      <c r="P298" s="23" t="n">
        <v>25348000000</v>
      </c>
      <c r="Q298" s="23" t="n">
        <v>6114000000</v>
      </c>
      <c r="R298" s="23" t="n">
        <v>64796000000</v>
      </c>
      <c r="S298" s="4" t="n">
        <v>12.6815856777494</v>
      </c>
    </row>
    <row r="299" customFormat="false" ht="15" hidden="false" customHeight="false" outlineLevel="0" collapsed="false">
      <c r="A299" s="4" t="s">
        <v>328</v>
      </c>
      <c r="B299" s="4" t="n">
        <v>2023</v>
      </c>
      <c r="C299" s="4" t="s">
        <v>573</v>
      </c>
      <c r="D299" s="23" t="n">
        <v>56141000000</v>
      </c>
      <c r="E299" s="23" t="n">
        <v>18203000000</v>
      </c>
      <c r="F299" s="23" t="n">
        <v>15026000000</v>
      </c>
      <c r="G299" s="23" t="n">
        <v>25621000000</v>
      </c>
      <c r="H299" s="23" t="n">
        <v>10957000000</v>
      </c>
      <c r="I299" s="4" t="n">
        <v>9.06</v>
      </c>
      <c r="J299" s="23" t="n">
        <v>1205675000</v>
      </c>
      <c r="K299" s="23" t="n">
        <v>1063000000</v>
      </c>
      <c r="L299" s="23" t="n">
        <v>19965000000</v>
      </c>
      <c r="M299" s="23" t="n">
        <v>-11248000000</v>
      </c>
      <c r="N299" s="23" t="n">
        <v>8717000000</v>
      </c>
      <c r="O299" s="23" t="n">
        <v>0</v>
      </c>
      <c r="P299" s="23" t="n">
        <v>19634000000</v>
      </c>
      <c r="Q299" s="23" t="n">
        <v>6606000000</v>
      </c>
      <c r="R299" s="23" t="n">
        <v>49279000000</v>
      </c>
      <c r="S299" s="4" t="n">
        <v>12.7830396475771</v>
      </c>
    </row>
    <row r="300" customFormat="false" ht="15" hidden="false" customHeight="false" outlineLevel="0" collapsed="false">
      <c r="A300" s="4" t="s">
        <v>328</v>
      </c>
      <c r="B300" s="4" t="n">
        <v>2022</v>
      </c>
      <c r="C300" s="4" t="s">
        <v>574</v>
      </c>
      <c r="D300" s="23" t="n">
        <v>78494000000</v>
      </c>
      <c r="E300" s="23" t="n">
        <v>30013000000</v>
      </c>
      <c r="F300" s="23" t="n">
        <v>25462000000</v>
      </c>
      <c r="G300" s="23" t="n">
        <v>36787000000</v>
      </c>
      <c r="H300" s="23" t="n">
        <v>18680000000</v>
      </c>
      <c r="I300" s="4" t="n">
        <v>14.57</v>
      </c>
      <c r="J300" s="23" t="n">
        <v>1278163000</v>
      </c>
      <c r="K300" s="23" t="n">
        <v>1055000000</v>
      </c>
      <c r="L300" s="23" t="n">
        <v>28314000000</v>
      </c>
      <c r="M300" s="23" t="n">
        <v>-10159000000</v>
      </c>
      <c r="N300" s="23" t="n">
        <v>18155000000</v>
      </c>
      <c r="O300" s="23" t="n">
        <v>377000000</v>
      </c>
      <c r="P300" s="23" t="n">
        <v>17188000000</v>
      </c>
      <c r="Q300" s="23" t="n">
        <v>9243000000</v>
      </c>
      <c r="R300" s="23" t="n">
        <v>48003000000</v>
      </c>
      <c r="S300" s="4" t="n">
        <v>8.07113543091655</v>
      </c>
    </row>
    <row r="301" customFormat="false" ht="15" hidden="false" customHeight="false" outlineLevel="0" collapsed="false">
      <c r="A301" s="4" t="s">
        <v>328</v>
      </c>
      <c r="B301" s="4" t="n">
        <v>2021</v>
      </c>
      <c r="C301" s="4" t="s">
        <v>575</v>
      </c>
      <c r="D301" s="23" t="n">
        <v>45828000000</v>
      </c>
      <c r="E301" s="23" t="n">
        <v>14768000000</v>
      </c>
      <c r="F301" s="23" t="n">
        <v>12071000000</v>
      </c>
      <c r="G301" s="23" t="n">
        <v>21046000000</v>
      </c>
      <c r="H301" s="23" t="n">
        <v>8079000000</v>
      </c>
      <c r="I301" s="4" t="n">
        <v>6.08</v>
      </c>
      <c r="J301" s="23" t="n">
        <v>1328151000</v>
      </c>
      <c r="K301" s="23" t="n">
        <v>1126000000</v>
      </c>
      <c r="L301" s="23" t="n">
        <v>16996000000</v>
      </c>
      <c r="M301" s="23" t="n">
        <v>-5324000000</v>
      </c>
      <c r="N301" s="23" t="n">
        <v>11672000000</v>
      </c>
      <c r="O301" s="23" t="n">
        <v>304000000</v>
      </c>
      <c r="P301" s="23" t="n">
        <v>19934000000</v>
      </c>
      <c r="Q301" s="23" t="n">
        <v>6591000000</v>
      </c>
      <c r="R301" s="23" t="n">
        <v>45406000000</v>
      </c>
      <c r="S301" s="4" t="n">
        <v>11.8327868852459</v>
      </c>
    </row>
    <row r="302" customFormat="false" ht="15" hidden="false" customHeight="false" outlineLevel="0" collapsed="false">
      <c r="A302" s="4" t="s">
        <v>333</v>
      </c>
      <c r="B302" s="4" t="n">
        <v>2026</v>
      </c>
      <c r="C302" s="4" t="s">
        <v>336</v>
      </c>
      <c r="D302" s="23" t="n">
        <v>303154000000</v>
      </c>
      <c r="E302" s="23" t="n">
        <v>38875000000</v>
      </c>
      <c r="F302" s="23" t="n">
        <v>11685000000</v>
      </c>
      <c r="G302" s="23" t="n">
        <v>14359000000</v>
      </c>
      <c r="H302" s="23" t="n">
        <v>9226000000</v>
      </c>
      <c r="I302" s="4" t="n">
        <v>20.76</v>
      </c>
      <c r="J302" s="23" t="n">
        <v>444427000</v>
      </c>
      <c r="K302" s="23" t="n">
        <v>145000000</v>
      </c>
      <c r="L302" s="23" t="n">
        <v>15825000000</v>
      </c>
      <c r="M302" s="23" t="n">
        <v>-6435000000</v>
      </c>
      <c r="N302" s="23" t="n">
        <v>9390000000</v>
      </c>
      <c r="O302" s="23" t="n">
        <v>924000000</v>
      </c>
      <c r="P302" s="23" t="n">
        <v>8576000000</v>
      </c>
      <c r="Q302" s="23" t="n">
        <v>21301000000</v>
      </c>
      <c r="R302" s="23" t="n">
        <v>35803000000</v>
      </c>
      <c r="S302" s="4" t="n">
        <v>45.4230028873917</v>
      </c>
    </row>
    <row r="303" customFormat="false" ht="15" hidden="false" customHeight="false" outlineLevel="0" collapsed="false">
      <c r="A303" s="4" t="s">
        <v>333</v>
      </c>
      <c r="B303" s="4" t="n">
        <v>2025</v>
      </c>
      <c r="C303" s="4" t="s">
        <v>628</v>
      </c>
      <c r="D303" s="23" t="n">
        <v>275235000000</v>
      </c>
      <c r="E303" s="23" t="n">
        <v>35349000000</v>
      </c>
      <c r="F303" s="23" t="n">
        <v>10383000000</v>
      </c>
      <c r="G303" s="23" t="n">
        <v>13398000000</v>
      </c>
      <c r="H303" s="23" t="n">
        <v>8099000000</v>
      </c>
      <c r="I303" s="4" t="n">
        <v>18.21</v>
      </c>
      <c r="J303" s="23" t="n">
        <v>444803000</v>
      </c>
      <c r="K303" s="23" t="n">
        <v>154000000</v>
      </c>
      <c r="L303" s="23" t="n">
        <v>13335000000</v>
      </c>
      <c r="M303" s="23" t="n">
        <v>-5498000000</v>
      </c>
      <c r="N303" s="23" t="n">
        <v>7837000000</v>
      </c>
      <c r="O303" s="23" t="n">
        <v>860000000</v>
      </c>
      <c r="P303" s="23" t="n">
        <v>10221000000</v>
      </c>
      <c r="Q303" s="23" t="n">
        <v>15284000000</v>
      </c>
      <c r="R303" s="23" t="n">
        <v>29164000000</v>
      </c>
      <c r="S303" s="4" t="n">
        <v>51.7171052631579</v>
      </c>
    </row>
    <row r="304" customFormat="false" ht="15" hidden="false" customHeight="false" outlineLevel="0" collapsed="false">
      <c r="A304" s="4" t="s">
        <v>333</v>
      </c>
      <c r="B304" s="4" t="n">
        <v>2024</v>
      </c>
      <c r="C304" s="4" t="s">
        <v>629</v>
      </c>
      <c r="D304" s="23" t="n">
        <v>254453000000</v>
      </c>
      <c r="E304" s="23" t="n">
        <v>32095000000</v>
      </c>
      <c r="F304" s="23" t="n">
        <v>9285000000</v>
      </c>
      <c r="G304" s="23" t="n">
        <v>12146000000</v>
      </c>
      <c r="H304" s="23" t="n">
        <v>7367000000</v>
      </c>
      <c r="I304" s="4" t="n">
        <v>16.56</v>
      </c>
      <c r="J304" s="23" t="n">
        <v>444759000</v>
      </c>
      <c r="K304" s="23" t="n">
        <v>169000000</v>
      </c>
      <c r="L304" s="23" t="n">
        <v>11339000000</v>
      </c>
      <c r="M304" s="23" t="n">
        <v>-4710000000</v>
      </c>
      <c r="N304" s="23" t="n">
        <v>6629000000</v>
      </c>
      <c r="O304" s="23" t="n">
        <v>818000000</v>
      </c>
      <c r="P304" s="23" t="n">
        <v>9949000000</v>
      </c>
      <c r="Q304" s="23" t="n">
        <v>11144000000</v>
      </c>
      <c r="R304" s="23" t="n">
        <v>23622000000</v>
      </c>
      <c r="S304" s="4" t="n">
        <v>53.7578313253012</v>
      </c>
    </row>
    <row r="305" customFormat="false" ht="15" hidden="false" customHeight="false" outlineLevel="0" collapsed="false">
      <c r="A305" s="4" t="s">
        <v>333</v>
      </c>
      <c r="B305" s="4" t="n">
        <v>2023</v>
      </c>
      <c r="C305" s="4" t="s">
        <v>630</v>
      </c>
      <c r="D305" s="23" t="n">
        <v>242290000000</v>
      </c>
      <c r="E305" s="23" t="n">
        <v>29704000000</v>
      </c>
      <c r="F305" s="23" t="n">
        <v>8114000000</v>
      </c>
      <c r="G305" s="23" t="n">
        <v>10724000000</v>
      </c>
      <c r="H305" s="23" t="n">
        <v>6292000000</v>
      </c>
      <c r="I305" s="4" t="n">
        <v>14.16</v>
      </c>
      <c r="J305" s="23" t="n">
        <v>444452000</v>
      </c>
      <c r="K305" s="23" t="n">
        <v>160000000</v>
      </c>
      <c r="L305" s="23" t="n">
        <v>11068000000</v>
      </c>
      <c r="M305" s="23" t="n">
        <v>-4323000000</v>
      </c>
      <c r="N305" s="23" t="n">
        <v>6745000000</v>
      </c>
      <c r="O305" s="23" t="n">
        <v>774000000</v>
      </c>
      <c r="P305" s="23" t="n">
        <v>10536000000</v>
      </c>
      <c r="Q305" s="23" t="n">
        <v>15234000000</v>
      </c>
      <c r="R305" s="23" t="n">
        <v>25058000000</v>
      </c>
      <c r="S305" s="4" t="n">
        <v>38.3815232722144</v>
      </c>
    </row>
    <row r="306" customFormat="false" ht="15" hidden="false" customHeight="false" outlineLevel="0" collapsed="false">
      <c r="A306" s="4" t="s">
        <v>333</v>
      </c>
      <c r="B306" s="4" t="n">
        <v>2022</v>
      </c>
      <c r="C306" s="4" t="s">
        <v>631</v>
      </c>
      <c r="D306" s="23" t="n">
        <v>226954000000</v>
      </c>
      <c r="E306" s="23" t="n">
        <v>27572000000</v>
      </c>
      <c r="F306" s="23" t="n">
        <v>7793000000</v>
      </c>
      <c r="G306" s="23" t="n">
        <v>9898000000</v>
      </c>
      <c r="H306" s="23" t="n">
        <v>5844000000</v>
      </c>
      <c r="I306" s="4" t="n">
        <v>13.14</v>
      </c>
      <c r="J306" s="23" t="n">
        <v>444757000</v>
      </c>
      <c r="K306" s="23" t="n">
        <v>158000000</v>
      </c>
      <c r="L306" s="23" t="n">
        <v>7392000000</v>
      </c>
      <c r="M306" s="23" t="n">
        <v>-3891000000</v>
      </c>
      <c r="N306" s="23" t="n">
        <v>3501000000</v>
      </c>
      <c r="O306" s="23" t="n">
        <v>724000000</v>
      </c>
      <c r="P306" s="23" t="n">
        <v>10906000000</v>
      </c>
      <c r="Q306" s="23" t="n">
        <v>11049000000</v>
      </c>
      <c r="R306" s="23" t="n">
        <v>20647000000</v>
      </c>
      <c r="S306" s="4" t="n">
        <v>40.3234624145786</v>
      </c>
    </row>
    <row r="307" customFormat="false" ht="15" hidden="false" customHeight="false" outlineLevel="0" collapsed="false">
      <c r="A307" s="4" t="s">
        <v>338</v>
      </c>
      <c r="B307" s="4" t="n">
        <v>2026</v>
      </c>
      <c r="C307" s="4" t="s">
        <v>340</v>
      </c>
      <c r="D307" s="23" t="n">
        <v>113538000000</v>
      </c>
      <c r="E307" s="23" t="n">
        <v>22707000000</v>
      </c>
      <c r="F307" s="23" t="n">
        <v>8446000000</v>
      </c>
      <c r="G307" s="23" t="n">
        <v>11852000000</v>
      </c>
      <c r="H307" s="23" t="n">
        <v>5936000000</v>
      </c>
      <c r="I307" s="4" t="n">
        <v>8.68</v>
      </c>
      <c r="J307" s="23" t="n">
        <v>683871000</v>
      </c>
      <c r="K307" s="23" t="n">
        <v>1560000000</v>
      </c>
      <c r="L307" s="23" t="n">
        <v>11185000000</v>
      </c>
      <c r="M307" s="23" t="n">
        <v>-2633000000</v>
      </c>
      <c r="N307" s="23" t="n">
        <v>8552000000</v>
      </c>
      <c r="O307" s="23" t="n">
        <v>723000000</v>
      </c>
      <c r="P307" s="23" t="n">
        <v>31503000000</v>
      </c>
      <c r="Q307" s="23" t="n">
        <v>11528000000</v>
      </c>
      <c r="R307" s="23" t="n">
        <v>-2470000000</v>
      </c>
      <c r="S307" s="4" t="n">
        <v>12.7723214285714</v>
      </c>
    </row>
    <row r="308" customFormat="false" ht="15" hidden="false" customHeight="false" outlineLevel="0" collapsed="false">
      <c r="A308" s="4" t="s">
        <v>338</v>
      </c>
      <c r="B308" s="4" t="n">
        <v>2025</v>
      </c>
      <c r="C308" s="4" t="s">
        <v>584</v>
      </c>
      <c r="D308" s="23" t="n">
        <v>95567000000</v>
      </c>
      <c r="E308" s="23" t="n">
        <v>21250000000</v>
      </c>
      <c r="F308" s="23" t="n">
        <v>6237000000</v>
      </c>
      <c r="G308" s="23" t="n">
        <v>9585000000</v>
      </c>
      <c r="H308" s="23" t="n">
        <v>4592000000</v>
      </c>
      <c r="I308" s="4" t="n">
        <v>6.38</v>
      </c>
      <c r="J308" s="23" t="n">
        <v>724000000</v>
      </c>
      <c r="K308" s="23" t="n">
        <v>1414000000</v>
      </c>
      <c r="L308" s="23" t="n">
        <v>4521000000</v>
      </c>
      <c r="M308" s="23" t="n">
        <v>-2652000000</v>
      </c>
      <c r="N308" s="23" t="n">
        <v>1869000000</v>
      </c>
      <c r="O308" s="23" t="n">
        <v>785000000</v>
      </c>
      <c r="P308" s="23" t="n">
        <v>24567000000</v>
      </c>
      <c r="Q308" s="23" t="n">
        <v>3633000000</v>
      </c>
      <c r="R308" s="23" t="n">
        <v>-1387000000</v>
      </c>
      <c r="S308" s="4" t="n">
        <v>15.9139784946237</v>
      </c>
    </row>
    <row r="309" customFormat="false" ht="15" hidden="false" customHeight="false" outlineLevel="0" collapsed="false">
      <c r="A309" s="4" t="s">
        <v>338</v>
      </c>
      <c r="B309" s="4" t="n">
        <v>2024</v>
      </c>
      <c r="C309" s="4" t="s">
        <v>632</v>
      </c>
      <c r="D309" s="23" t="n">
        <v>88425000000</v>
      </c>
      <c r="E309" s="23" t="n">
        <v>21069000000</v>
      </c>
      <c r="F309" s="23" t="n">
        <v>5411000000</v>
      </c>
      <c r="G309" s="23" t="n">
        <v>8891000000</v>
      </c>
      <c r="H309" s="23" t="n">
        <v>3388000000</v>
      </c>
      <c r="I309" s="4" t="n">
        <v>4.6</v>
      </c>
      <c r="J309" s="23" t="n">
        <v>736000000</v>
      </c>
      <c r="K309" s="23" t="n">
        <v>1501000000</v>
      </c>
      <c r="L309" s="23" t="n">
        <v>8676000000</v>
      </c>
      <c r="M309" s="23" t="n">
        <v>-2756000000</v>
      </c>
      <c r="N309" s="23" t="n">
        <v>5920000000</v>
      </c>
      <c r="O309" s="23" t="n">
        <v>878000000</v>
      </c>
      <c r="P309" s="23" t="n">
        <v>25994000000</v>
      </c>
      <c r="Q309" s="23" t="n">
        <v>7366000000</v>
      </c>
      <c r="R309" s="23" t="n">
        <v>-2132000000</v>
      </c>
      <c r="S309" s="4" t="n">
        <v>18.3269639065817</v>
      </c>
    </row>
    <row r="310" customFormat="false" ht="15" hidden="false" customHeight="false" outlineLevel="0" collapsed="false">
      <c r="A310" s="4" t="s">
        <v>338</v>
      </c>
      <c r="B310" s="4" t="n">
        <v>2023</v>
      </c>
      <c r="C310" s="4" t="s">
        <v>633</v>
      </c>
      <c r="D310" s="23" t="n">
        <v>102301000000</v>
      </c>
      <c r="E310" s="23" t="n">
        <v>22686000000</v>
      </c>
      <c r="F310" s="23" t="n">
        <v>5771000000</v>
      </c>
      <c r="G310" s="23" t="n">
        <v>7662000000</v>
      </c>
      <c r="H310" s="23" t="n">
        <v>2442000000</v>
      </c>
      <c r="I310" s="4" t="n">
        <v>3.24</v>
      </c>
      <c r="J310" s="23" t="n">
        <v>753000000</v>
      </c>
      <c r="K310" s="23" t="n">
        <v>1281000000</v>
      </c>
      <c r="L310" s="23" t="n">
        <v>3565000000</v>
      </c>
      <c r="M310" s="23" t="n">
        <v>-3003000000</v>
      </c>
      <c r="N310" s="23" t="n">
        <v>562000000</v>
      </c>
      <c r="O310" s="23" t="n">
        <v>931000000</v>
      </c>
      <c r="P310" s="23" t="n">
        <v>29588000000</v>
      </c>
      <c r="Q310" s="23" t="n">
        <v>8607000000</v>
      </c>
      <c r="R310" s="23" t="n">
        <v>-3025000000</v>
      </c>
      <c r="S310" s="4" t="n">
        <v>12.6846846846847</v>
      </c>
    </row>
    <row r="311" customFormat="false" ht="15" hidden="false" customHeight="false" outlineLevel="0" collapsed="false">
      <c r="A311" s="4" t="s">
        <v>338</v>
      </c>
      <c r="B311" s="4" t="n">
        <v>2022</v>
      </c>
      <c r="C311" s="4" t="s">
        <v>634</v>
      </c>
      <c r="D311" s="23" t="n">
        <v>101197000000</v>
      </c>
      <c r="E311" s="23" t="n">
        <v>21891000000</v>
      </c>
      <c r="F311" s="23" t="n">
        <v>4659000000</v>
      </c>
      <c r="G311" s="23" t="n">
        <v>12016000000</v>
      </c>
      <c r="H311" s="23" t="n">
        <v>5563000000</v>
      </c>
      <c r="I311" s="4" t="n">
        <v>7.02</v>
      </c>
      <c r="J311" s="23" t="n">
        <v>791000000</v>
      </c>
      <c r="K311" s="23" t="n">
        <v>1542000000</v>
      </c>
      <c r="L311" s="23" t="n">
        <v>10307000000</v>
      </c>
      <c r="M311" s="23" t="n">
        <v>-2796000000</v>
      </c>
      <c r="N311" s="23" t="n">
        <v>7511000000</v>
      </c>
      <c r="O311" s="23" t="n">
        <v>1622000000</v>
      </c>
      <c r="P311" s="23" t="n">
        <v>26954000000</v>
      </c>
      <c r="Q311" s="23" t="n">
        <v>9477000000</v>
      </c>
      <c r="R311" s="23" t="n">
        <v>-1580000000</v>
      </c>
      <c r="S311" s="4" t="n">
        <v>7.7041095890411</v>
      </c>
    </row>
    <row r="312" customFormat="false" ht="15" hidden="false" customHeight="false" outlineLevel="0" collapsed="false">
      <c r="A312" s="4" t="s">
        <v>342</v>
      </c>
      <c r="B312" s="4" t="n">
        <v>2025</v>
      </c>
      <c r="C312" s="4" t="s">
        <v>298</v>
      </c>
      <c r="D312" s="23" t="n">
        <v>94425000000</v>
      </c>
      <c r="E312" s="23" t="n">
        <v>35659000000</v>
      </c>
      <c r="F312" s="23" t="n">
        <v>13832000000</v>
      </c>
      <c r="G312" s="23" t="n">
        <v>19141000000</v>
      </c>
      <c r="H312" s="23" t="n">
        <v>12404000000</v>
      </c>
      <c r="I312" s="4" t="n">
        <v>6.85</v>
      </c>
      <c r="J312" s="23" t="n">
        <v>1811000000</v>
      </c>
      <c r="K312" s="23" t="n">
        <v>1812000000</v>
      </c>
      <c r="L312" s="23" t="n">
        <v>18101000000</v>
      </c>
      <c r="M312" s="23" t="n">
        <v>-8024000000</v>
      </c>
      <c r="N312" s="23" t="n">
        <v>10077000000</v>
      </c>
      <c r="O312" s="23" t="n">
        <v>1363000000</v>
      </c>
      <c r="P312" s="23" t="n">
        <v>45423000000</v>
      </c>
      <c r="Q312" s="23" t="n">
        <v>5695000000</v>
      </c>
      <c r="R312" s="23" t="n">
        <v>114612000000</v>
      </c>
      <c r="S312" s="4" t="n">
        <v>16.4927325581395</v>
      </c>
    </row>
    <row r="313" customFormat="false" ht="15" hidden="false" customHeight="false" outlineLevel="0" collapsed="false">
      <c r="A313" s="4" t="s">
        <v>342</v>
      </c>
      <c r="B313" s="4" t="n">
        <v>2024</v>
      </c>
      <c r="C313" s="4" t="s">
        <v>614</v>
      </c>
      <c r="D313" s="23" t="n">
        <v>91361000000</v>
      </c>
      <c r="E313" s="23" t="n">
        <v>32663000000</v>
      </c>
      <c r="F313" s="23" t="n">
        <v>11914000000</v>
      </c>
      <c r="G313" s="23" t="n">
        <v>14629000000</v>
      </c>
      <c r="H313" s="23" t="n">
        <v>4972000000</v>
      </c>
      <c r="I313" s="4" t="n">
        <v>2.72</v>
      </c>
      <c r="J313" s="23" t="n">
        <v>1831000000</v>
      </c>
      <c r="K313" s="23" t="n">
        <v>1447000000</v>
      </c>
      <c r="L313" s="23" t="n">
        <v>13971000000</v>
      </c>
      <c r="M313" s="23" t="n">
        <v>-5412000000</v>
      </c>
      <c r="N313" s="23" t="n">
        <v>8559000000</v>
      </c>
      <c r="O313" s="23" t="n">
        <v>1366000000</v>
      </c>
      <c r="P313" s="23" t="n">
        <v>49517000000</v>
      </c>
      <c r="Q313" s="23" t="n">
        <v>6002000000</v>
      </c>
      <c r="R313" s="23" t="n">
        <v>105522000000</v>
      </c>
      <c r="S313" s="4" t="n">
        <v>35.2977941176471</v>
      </c>
    </row>
    <row r="314" customFormat="false" ht="15" hidden="false" customHeight="false" outlineLevel="0" collapsed="false">
      <c r="A314" s="4" t="s">
        <v>342</v>
      </c>
      <c r="B314" s="4" t="n">
        <v>2023</v>
      </c>
      <c r="C314" s="4" t="s">
        <v>611</v>
      </c>
      <c r="D314" s="23" t="n">
        <v>88898000000</v>
      </c>
      <c r="E314" s="23" t="n">
        <v>29697000000</v>
      </c>
      <c r="F314" s="23" t="n">
        <v>8992000000</v>
      </c>
      <c r="G314" s="23" t="n">
        <v>12111000000</v>
      </c>
      <c r="H314" s="23" t="n">
        <v>2354000000</v>
      </c>
      <c r="I314" s="4" t="n">
        <v>1.29</v>
      </c>
      <c r="J314" s="23" t="n">
        <v>1830000000</v>
      </c>
      <c r="K314" s="23" t="n">
        <v>1458000000</v>
      </c>
      <c r="L314" s="23" t="n">
        <v>9866000000</v>
      </c>
      <c r="M314" s="23" t="n">
        <v>-4969000000</v>
      </c>
      <c r="N314" s="23" t="n">
        <v>4897000000</v>
      </c>
      <c r="O314" s="23" t="n">
        <v>1143000000</v>
      </c>
      <c r="P314" s="23" t="n">
        <v>50672000000</v>
      </c>
      <c r="Q314" s="23" t="n">
        <v>14182000000</v>
      </c>
      <c r="R314" s="23" t="n">
        <v>113012000000</v>
      </c>
      <c r="S314" s="4" t="n">
        <v>62.8294573643411</v>
      </c>
    </row>
    <row r="315" customFormat="false" ht="15" hidden="false" customHeight="false" outlineLevel="0" collapsed="false">
      <c r="A315" s="4" t="s">
        <v>342</v>
      </c>
      <c r="B315" s="4" t="n">
        <v>2022</v>
      </c>
      <c r="C315" s="4" t="s">
        <v>635</v>
      </c>
      <c r="D315" s="23" t="n">
        <v>82722000000</v>
      </c>
      <c r="E315" s="23" t="n">
        <v>28321000000</v>
      </c>
      <c r="F315" s="23" t="n">
        <v>6770000000</v>
      </c>
      <c r="G315" s="23" t="n">
        <v>11997000000</v>
      </c>
      <c r="H315" s="23" t="n">
        <v>3145000000</v>
      </c>
      <c r="I315" s="4" t="n">
        <v>1.72</v>
      </c>
      <c r="J315" s="23" t="n">
        <v>1827000000</v>
      </c>
      <c r="K315" s="23" t="n">
        <v>1549000000</v>
      </c>
      <c r="L315" s="23" t="n">
        <v>6010000000</v>
      </c>
      <c r="M315" s="23" t="n">
        <v>-4943000000</v>
      </c>
      <c r="N315" s="23" t="n">
        <v>1067000000</v>
      </c>
      <c r="O315" s="23" t="n">
        <v>977000000</v>
      </c>
      <c r="P315" s="23" t="n">
        <v>52259000000</v>
      </c>
      <c r="Q315" s="23" t="n">
        <v>11615000000</v>
      </c>
      <c r="R315" s="23" t="n">
        <v>108378000000</v>
      </c>
      <c r="S315" s="4" t="n">
        <v>54.5260115606936</v>
      </c>
    </row>
    <row r="316" customFormat="false" ht="15" hidden="false" customHeight="false" outlineLevel="0" collapsed="false">
      <c r="A316" s="4" t="s">
        <v>342</v>
      </c>
      <c r="B316" s="4" t="n">
        <v>2021</v>
      </c>
      <c r="C316" s="4" t="s">
        <v>636</v>
      </c>
      <c r="D316" s="23" t="n">
        <v>67418000000</v>
      </c>
      <c r="E316" s="23" t="n">
        <v>22287000000</v>
      </c>
      <c r="F316" s="23" t="n">
        <v>3659000000</v>
      </c>
      <c r="G316" s="23" t="n">
        <v>9078000000</v>
      </c>
      <c r="H316" s="23" t="n">
        <v>1995000000</v>
      </c>
      <c r="I316" s="4" t="n">
        <v>1.09</v>
      </c>
      <c r="J316" s="23" t="n">
        <v>1828000000</v>
      </c>
      <c r="K316" s="23" t="n">
        <v>1546000000</v>
      </c>
      <c r="L316" s="23" t="n">
        <v>5567000000</v>
      </c>
      <c r="M316" s="23" t="n">
        <v>-3578000000</v>
      </c>
      <c r="N316" s="23" t="n">
        <v>1989000000</v>
      </c>
      <c r="O316" s="23" t="n">
        <v>600000000</v>
      </c>
      <c r="P316" s="23" t="n">
        <v>58313000000</v>
      </c>
      <c r="Q316" s="23" t="n">
        <v>15959000000</v>
      </c>
      <c r="R316" s="23" t="n">
        <v>102224000000</v>
      </c>
      <c r="S316" s="4" t="n">
        <v>160.009090909091</v>
      </c>
    </row>
    <row r="317" customFormat="false" ht="15" hidden="false" customHeight="false" outlineLevel="0" collapsed="false">
      <c r="A317" s="4" t="s">
        <v>345</v>
      </c>
      <c r="B317" s="4" t="n">
        <v>2025</v>
      </c>
      <c r="C317" s="4" t="s">
        <v>103</v>
      </c>
      <c r="D317" s="23" t="n">
        <v>32237000000</v>
      </c>
      <c r="E317" s="23" t="n">
        <v>10174000000</v>
      </c>
      <c r="F317" s="23" t="n">
        <v>8577000000</v>
      </c>
      <c r="G317" s="23" t="n">
        <v>15670000000</v>
      </c>
      <c r="H317" s="23" t="n">
        <v>4968000000</v>
      </c>
      <c r="I317" s="4" t="n">
        <v>6.31</v>
      </c>
      <c r="J317" s="23" t="n">
        <v>777000000</v>
      </c>
      <c r="K317" s="23" t="n">
        <v>3634000000</v>
      </c>
      <c r="L317" s="23" t="n">
        <v>12352000000</v>
      </c>
      <c r="M317" s="23" t="n">
        <v>-14024000000</v>
      </c>
      <c r="N317" s="23" t="n">
        <v>-1672000000</v>
      </c>
      <c r="O317" s="23" t="n">
        <v>0</v>
      </c>
      <c r="P317" s="23" t="n">
        <v>90869000000</v>
      </c>
      <c r="Q317" s="23" t="n">
        <v>245000000</v>
      </c>
      <c r="R317" s="23" t="n">
        <v>53019000000</v>
      </c>
      <c r="S317" s="4" t="n">
        <v>18.5752773375594</v>
      </c>
    </row>
    <row r="318" customFormat="false" ht="15" hidden="false" customHeight="false" outlineLevel="0" collapsed="false">
      <c r="A318" s="4" t="s">
        <v>345</v>
      </c>
      <c r="B318" s="4" t="n">
        <v>2024</v>
      </c>
      <c r="C318" s="4" t="s">
        <v>572</v>
      </c>
      <c r="D318" s="23" t="n">
        <v>30357000000</v>
      </c>
      <c r="E318" s="23" t="n">
        <v>15197000000</v>
      </c>
      <c r="F318" s="23" t="n">
        <v>7926000000</v>
      </c>
      <c r="G318" s="23" t="n">
        <v>14997000000</v>
      </c>
      <c r="H318" s="23" t="n">
        <v>4510000000</v>
      </c>
      <c r="I318" s="4" t="n">
        <v>5.71</v>
      </c>
      <c r="J318" s="23" t="n">
        <v>772000000</v>
      </c>
      <c r="K318" s="23" t="n">
        <v>3384000000</v>
      </c>
      <c r="L318" s="23" t="n">
        <v>12328000000</v>
      </c>
      <c r="M318" s="23" t="n">
        <v>-12280000000</v>
      </c>
      <c r="N318" s="23" t="n">
        <v>48000000</v>
      </c>
      <c r="O318" s="23" t="n">
        <v>0</v>
      </c>
      <c r="P318" s="23" t="n">
        <v>85230000000</v>
      </c>
      <c r="Q318" s="23" t="n">
        <v>314000000</v>
      </c>
      <c r="R318" s="23" t="n">
        <v>51255000000</v>
      </c>
      <c r="S318" s="4" t="n">
        <v>18.8686514886165</v>
      </c>
    </row>
    <row r="319" customFormat="false" ht="15" hidden="false" customHeight="false" outlineLevel="0" collapsed="false">
      <c r="A319" s="4" t="s">
        <v>345</v>
      </c>
      <c r="B319" s="4" t="n">
        <v>2023</v>
      </c>
      <c r="C319" s="4" t="s">
        <v>573</v>
      </c>
      <c r="D319" s="23" t="n">
        <v>29060000000</v>
      </c>
      <c r="E319" s="23" t="n">
        <v>13756000000</v>
      </c>
      <c r="F319" s="23" t="n">
        <v>7070000000</v>
      </c>
      <c r="G319" s="23" t="n">
        <v>13865000000</v>
      </c>
      <c r="H319" s="23" t="n">
        <v>2841000000</v>
      </c>
      <c r="I319" s="4" t="n">
        <v>5.43</v>
      </c>
      <c r="J319" s="23" t="n">
        <v>771000000</v>
      </c>
      <c r="K319" s="23" t="n">
        <v>3014000000</v>
      </c>
      <c r="L319" s="23" t="n">
        <v>9878000000</v>
      </c>
      <c r="M319" s="23" t="n">
        <v>-12604000000</v>
      </c>
      <c r="N319" s="23" t="n">
        <v>-2726000000</v>
      </c>
      <c r="O319" s="23" t="n">
        <v>0</v>
      </c>
      <c r="P319" s="23" t="n">
        <v>80457000000</v>
      </c>
      <c r="Q319" s="23" t="n">
        <v>253000000</v>
      </c>
      <c r="R319" s="23" t="n">
        <v>50186000000</v>
      </c>
      <c r="S319" s="4" t="n">
        <v>17.8710865561694</v>
      </c>
    </row>
    <row r="320" customFormat="false" ht="15" hidden="false" customHeight="false" outlineLevel="0" collapsed="false">
      <c r="A320" s="4" t="s">
        <v>345</v>
      </c>
      <c r="B320" s="4" t="n">
        <v>2022</v>
      </c>
      <c r="C320" s="4" t="s">
        <v>574</v>
      </c>
      <c r="D320" s="23" t="n">
        <v>28768000000</v>
      </c>
      <c r="E320" s="23" t="n">
        <v>12976000000</v>
      </c>
      <c r="F320" s="23" t="n">
        <v>6012000000</v>
      </c>
      <c r="G320" s="23" t="n">
        <v>12360000000</v>
      </c>
      <c r="H320" s="23" t="n">
        <v>2550000000</v>
      </c>
      <c r="I320" s="4" t="n">
        <v>3.17</v>
      </c>
      <c r="J320" s="23" t="n">
        <v>770000000</v>
      </c>
      <c r="K320" s="23" t="n">
        <v>2439000000</v>
      </c>
      <c r="L320" s="23" t="n">
        <v>5927000000</v>
      </c>
      <c r="M320" s="23" t="n">
        <v>-11367000000</v>
      </c>
      <c r="N320" s="23" t="n">
        <v>-5440000000</v>
      </c>
      <c r="O320" s="23" t="n">
        <v>0</v>
      </c>
      <c r="P320" s="23" t="n">
        <v>74911000000</v>
      </c>
      <c r="Q320" s="23" t="n">
        <v>409000000</v>
      </c>
      <c r="R320" s="23" t="n">
        <v>51853000000</v>
      </c>
      <c r="S320" s="4" t="n">
        <v>32.4889589905363</v>
      </c>
    </row>
    <row r="321" customFormat="false" ht="15" hidden="false" customHeight="false" outlineLevel="0" collapsed="false">
      <c r="A321" s="4" t="s">
        <v>345</v>
      </c>
      <c r="B321" s="4" t="n">
        <v>2021</v>
      </c>
      <c r="C321" s="4" t="s">
        <v>575</v>
      </c>
      <c r="D321" s="23" t="n">
        <v>24621000000</v>
      </c>
      <c r="E321" s="23" t="n">
        <v>11958000000</v>
      </c>
      <c r="F321" s="23" t="n">
        <v>5500000000</v>
      </c>
      <c r="G321" s="23" t="n">
        <v>11861000000</v>
      </c>
      <c r="H321" s="23" t="n">
        <v>3908000000</v>
      </c>
      <c r="I321" s="4" t="n">
        <v>4.94</v>
      </c>
      <c r="J321" s="23" t="n">
        <v>769000000</v>
      </c>
      <c r="K321" s="23" t="n">
        <v>2207000000</v>
      </c>
      <c r="L321" s="23" t="n">
        <v>8290000000</v>
      </c>
      <c r="M321" s="23" t="n">
        <v>-9715000000</v>
      </c>
      <c r="N321" s="23" t="n">
        <v>-1425000000</v>
      </c>
      <c r="O321" s="23" t="n">
        <v>83000000</v>
      </c>
      <c r="P321" s="23" t="n">
        <v>68263000000</v>
      </c>
      <c r="Q321" s="23" t="n">
        <v>341000000</v>
      </c>
      <c r="R321" s="23" t="n">
        <v>51136000000</v>
      </c>
      <c r="S321" s="4" t="n">
        <v>21.2348178137652</v>
      </c>
    </row>
    <row r="322" customFormat="false" ht="15" hidden="false" customHeight="false" outlineLevel="0" collapsed="false">
      <c r="A322" s="4" t="s">
        <v>351</v>
      </c>
      <c r="B322" s="4" t="n">
        <v>2025</v>
      </c>
      <c r="C322" s="4" t="s">
        <v>103</v>
      </c>
      <c r="D322" s="23" t="n">
        <v>29442000000</v>
      </c>
      <c r="E322" s="23" t="n">
        <v>23208000000</v>
      </c>
      <c r="F322" s="23" t="n">
        <v>11701000000</v>
      </c>
      <c r="G322" s="23" t="n">
        <v>13580000000</v>
      </c>
      <c r="H322" s="23" t="n">
        <v>8510000000</v>
      </c>
      <c r="I322" s="4" t="n">
        <v>6.78</v>
      </c>
      <c r="J322" s="23" t="n">
        <v>1255000000</v>
      </c>
      <c r="K322" s="23" t="n">
        <v>1024000000</v>
      </c>
      <c r="L322" s="23" t="n">
        <v>10019000000</v>
      </c>
      <c r="M322" s="23" t="n">
        <v>-563000000</v>
      </c>
      <c r="N322" s="23" t="n">
        <v>9456000000</v>
      </c>
      <c r="O322" s="23" t="n">
        <v>894000000</v>
      </c>
      <c r="P322" s="23" t="n">
        <v>24936000000</v>
      </c>
      <c r="Q322" s="23" t="n">
        <v>9613000000</v>
      </c>
      <c r="R322" s="23" t="n">
        <v>22618000000</v>
      </c>
      <c r="S322" s="4" t="n">
        <v>17.9444444444444</v>
      </c>
    </row>
    <row r="323" customFormat="false" ht="15" hidden="false" customHeight="false" outlineLevel="0" collapsed="false">
      <c r="A323" s="4" t="s">
        <v>351</v>
      </c>
      <c r="B323" s="4" t="n">
        <v>2024</v>
      </c>
      <c r="C323" s="4" t="s">
        <v>572</v>
      </c>
      <c r="D323" s="23" t="n">
        <v>28754000000</v>
      </c>
      <c r="E323" s="23" t="n">
        <v>22503000000</v>
      </c>
      <c r="F323" s="23" t="n">
        <v>1662000000</v>
      </c>
      <c r="G323" s="23" t="n">
        <v>4434000000</v>
      </c>
      <c r="H323" s="23" t="n">
        <v>480000000</v>
      </c>
      <c r="I323" s="4" t="n">
        <v>0.38</v>
      </c>
      <c r="J323" s="23" t="n">
        <v>1255000000</v>
      </c>
      <c r="K323" s="23" t="n">
        <v>977000000</v>
      </c>
      <c r="L323" s="23" t="n">
        <v>10828000000</v>
      </c>
      <c r="M323" s="23" t="n">
        <v>-523000000</v>
      </c>
      <c r="N323" s="23" t="n">
        <v>10305000000</v>
      </c>
      <c r="O323" s="23" t="n">
        <v>835000000</v>
      </c>
      <c r="P323" s="23" t="n">
        <v>26711000000</v>
      </c>
      <c r="Q323" s="23" t="n">
        <v>11568000000</v>
      </c>
      <c r="R323" s="23" t="n">
        <v>19246000000</v>
      </c>
      <c r="S323" s="4" t="n">
        <v>243.078947368421</v>
      </c>
    </row>
    <row r="324" customFormat="false" ht="15" hidden="false" customHeight="false" outlineLevel="0" collapsed="false">
      <c r="A324" s="4" t="s">
        <v>351</v>
      </c>
      <c r="B324" s="4" t="n">
        <v>2023</v>
      </c>
      <c r="C324" s="4" t="s">
        <v>573</v>
      </c>
      <c r="D324" s="23" t="n">
        <v>27116000000</v>
      </c>
      <c r="E324" s="23" t="n">
        <v>20618000000</v>
      </c>
      <c r="F324" s="23" t="n">
        <v>7605000000</v>
      </c>
      <c r="G324" s="23" t="n">
        <v>10496000000</v>
      </c>
      <c r="H324" s="23" t="n">
        <v>5665000000</v>
      </c>
      <c r="I324" s="4" t="n">
        <v>4.5</v>
      </c>
      <c r="J324" s="23" t="n">
        <v>1258000000</v>
      </c>
      <c r="K324" s="23" t="n">
        <v>944000000</v>
      </c>
      <c r="L324" s="23" t="n">
        <v>8006000000</v>
      </c>
      <c r="M324" s="23" t="n">
        <v>-585000000</v>
      </c>
      <c r="N324" s="23" t="n">
        <v>7421000000</v>
      </c>
      <c r="O324" s="23" t="n">
        <v>766000000</v>
      </c>
      <c r="P324" s="23" t="n">
        <v>24987000000</v>
      </c>
      <c r="Q324" s="23" t="n">
        <v>7264000000</v>
      </c>
      <c r="R324" s="23" t="n">
        <v>22749000000</v>
      </c>
      <c r="S324" s="4" t="n">
        <v>17.8436123348018</v>
      </c>
    </row>
    <row r="325" customFormat="false" ht="15" hidden="false" customHeight="false" outlineLevel="0" collapsed="false">
      <c r="A325" s="4" t="s">
        <v>351</v>
      </c>
      <c r="B325" s="4" t="n">
        <v>2022</v>
      </c>
      <c r="C325" s="4" t="s">
        <v>574</v>
      </c>
      <c r="D325" s="23" t="n">
        <v>27281000000</v>
      </c>
      <c r="E325" s="23" t="n">
        <v>21624000000</v>
      </c>
      <c r="F325" s="23" t="n">
        <v>7330000000</v>
      </c>
      <c r="G325" s="23" t="n">
        <v>8852000000</v>
      </c>
      <c r="H325" s="23" t="n">
        <v>4592000000</v>
      </c>
      <c r="I325" s="4" t="n">
        <v>3.64</v>
      </c>
      <c r="J325" s="23" t="n">
        <v>1262000000</v>
      </c>
      <c r="K325" s="23" t="n">
        <v>935000000</v>
      </c>
      <c r="L325" s="23" t="n">
        <v>9072000000</v>
      </c>
      <c r="M325" s="23" t="n">
        <v>-728000000</v>
      </c>
      <c r="N325" s="23" t="n">
        <v>8344000000</v>
      </c>
      <c r="O325" s="23" t="n">
        <v>644000000</v>
      </c>
      <c r="P325" s="23" t="n">
        <v>25230000000</v>
      </c>
      <c r="Q325" s="23" t="n">
        <v>6385000000</v>
      </c>
      <c r="R325" s="23" t="n">
        <v>21209000000</v>
      </c>
      <c r="S325" s="4" t="n">
        <v>23.4562841530055</v>
      </c>
    </row>
    <row r="326" customFormat="false" ht="15" hidden="false" customHeight="false" outlineLevel="0" collapsed="false">
      <c r="A326" s="4" t="s">
        <v>351</v>
      </c>
      <c r="B326" s="4" t="n">
        <v>2021</v>
      </c>
      <c r="C326" s="4" t="s">
        <v>575</v>
      </c>
      <c r="D326" s="23" t="n">
        <v>27305000000</v>
      </c>
      <c r="E326" s="23" t="n">
        <v>20704000000</v>
      </c>
      <c r="F326" s="23" t="n">
        <v>9918000000</v>
      </c>
      <c r="G326" s="23" t="n">
        <v>11329000000</v>
      </c>
      <c r="H326" s="23" t="n">
        <v>6225000000</v>
      </c>
      <c r="I326" s="4" t="n">
        <v>4.93</v>
      </c>
      <c r="J326" s="23" t="n">
        <v>1262000000</v>
      </c>
      <c r="K326" s="23" t="n">
        <v>1001000000</v>
      </c>
      <c r="L326" s="23" t="n">
        <v>11384000000</v>
      </c>
      <c r="M326" s="23" t="n">
        <v>-579000000</v>
      </c>
      <c r="N326" s="23" t="n">
        <v>10805000000</v>
      </c>
      <c r="O326" s="23" t="n">
        <v>635000000</v>
      </c>
      <c r="P326" s="23" t="n">
        <v>26695000000</v>
      </c>
      <c r="Q326" s="23" t="n">
        <v>6520000000</v>
      </c>
      <c r="R326" s="23" t="n">
        <v>21064000000</v>
      </c>
      <c r="S326" s="4" t="n">
        <v>14.6391129032258</v>
      </c>
    </row>
    <row r="327" customFormat="false" ht="15" hidden="false" customHeight="false" outlineLevel="0" collapsed="false">
      <c r="A327" s="4" t="s">
        <v>354</v>
      </c>
      <c r="B327" s="4" t="n">
        <v>2025</v>
      </c>
      <c r="C327" s="4" t="s">
        <v>357</v>
      </c>
      <c r="D327" s="23" t="n">
        <v>164683000000</v>
      </c>
      <c r="E327" s="23" t="n">
        <v>54865000000</v>
      </c>
      <c r="F327" s="23" t="n">
        <v>20890000000</v>
      </c>
      <c r="G327" s="23" t="n">
        <v>25135000000</v>
      </c>
      <c r="H327" s="23" t="n">
        <v>14156000000</v>
      </c>
      <c r="I327" s="4" t="n">
        <v>14.23</v>
      </c>
      <c r="J327" s="23" t="n">
        <v>997000000</v>
      </c>
      <c r="K327" s="23" t="n">
        <v>2412000000</v>
      </c>
      <c r="L327" s="23" t="n">
        <v>16325000000</v>
      </c>
      <c r="M327" s="23" t="n">
        <v>-3679000000</v>
      </c>
      <c r="N327" s="23" t="n">
        <v>12646000000</v>
      </c>
      <c r="O327" s="23" t="n">
        <v>522000000</v>
      </c>
      <c r="P327" s="23" t="n">
        <v>65350000000</v>
      </c>
      <c r="Q327" s="23" t="n">
        <v>1389000000</v>
      </c>
      <c r="R327" s="23" t="n">
        <v>12813000000</v>
      </c>
      <c r="S327" s="4" t="n">
        <v>26.4975473020322</v>
      </c>
    </row>
    <row r="328" customFormat="false" ht="15" hidden="false" customHeight="false" outlineLevel="0" collapsed="false">
      <c r="A328" s="4" t="s">
        <v>354</v>
      </c>
      <c r="B328" s="4" t="n">
        <v>2024</v>
      </c>
      <c r="C328" s="4" t="s">
        <v>637</v>
      </c>
      <c r="D328" s="23" t="n">
        <v>159514000000</v>
      </c>
      <c r="E328" s="23" t="n">
        <v>53308000000</v>
      </c>
      <c r="F328" s="23" t="n">
        <v>21526000000</v>
      </c>
      <c r="G328" s="23" t="n">
        <v>25435000000</v>
      </c>
      <c r="H328" s="23" t="n">
        <v>14806000000</v>
      </c>
      <c r="I328" s="4" t="n">
        <v>14.91</v>
      </c>
      <c r="J328" s="23" t="n">
        <v>993000000</v>
      </c>
      <c r="K328" s="23" t="n">
        <v>2321000000</v>
      </c>
      <c r="L328" s="23" t="n">
        <v>19810000000</v>
      </c>
      <c r="M328" s="23" t="n">
        <v>-3485000000</v>
      </c>
      <c r="N328" s="23" t="n">
        <v>16325000000</v>
      </c>
      <c r="O328" s="23" t="n">
        <v>442000000</v>
      </c>
      <c r="P328" s="23" t="n">
        <v>62290000000</v>
      </c>
      <c r="Q328" s="23" t="n">
        <v>1659000000</v>
      </c>
      <c r="R328" s="23" t="n">
        <v>6640000000</v>
      </c>
      <c r="S328" s="4" t="n">
        <v>27.3235294117647</v>
      </c>
    </row>
    <row r="329" customFormat="false" ht="15" hidden="false" customHeight="false" outlineLevel="0" collapsed="false">
      <c r="A329" s="4" t="s">
        <v>354</v>
      </c>
      <c r="B329" s="4" t="n">
        <v>2023</v>
      </c>
      <c r="C329" s="4" t="s">
        <v>607</v>
      </c>
      <c r="D329" s="23" t="n">
        <v>152669000000</v>
      </c>
      <c r="E329" s="23" t="n">
        <v>50960000000</v>
      </c>
      <c r="F329" s="23" t="n">
        <v>21689000000</v>
      </c>
      <c r="G329" s="23" t="n">
        <v>25114000000</v>
      </c>
      <c r="H329" s="23" t="n">
        <v>15143000000</v>
      </c>
      <c r="I329" s="4" t="n">
        <v>15.11</v>
      </c>
      <c r="J329" s="23" t="n">
        <v>1002000000</v>
      </c>
      <c r="K329" s="23" t="n">
        <v>1943000000</v>
      </c>
      <c r="L329" s="23" t="n">
        <v>21172000000</v>
      </c>
      <c r="M329" s="23" t="n">
        <v>-3226000000</v>
      </c>
      <c r="N329" s="23" t="n">
        <v>17946000000</v>
      </c>
      <c r="O329" s="23" t="n">
        <v>380000000</v>
      </c>
      <c r="P329" s="23" t="n">
        <v>52243000000</v>
      </c>
      <c r="Q329" s="23" t="n">
        <v>3760000000</v>
      </c>
      <c r="R329" s="23" t="n">
        <v>1044000000</v>
      </c>
      <c r="S329" s="4" t="n">
        <v>23.4630606860158</v>
      </c>
    </row>
    <row r="330" customFormat="false" ht="15" hidden="false" customHeight="false" outlineLevel="0" collapsed="false">
      <c r="A330" s="4" t="s">
        <v>354</v>
      </c>
      <c r="B330" s="4" t="n">
        <v>2022</v>
      </c>
      <c r="C330" s="4" t="s">
        <v>608</v>
      </c>
      <c r="D330" s="23" t="n">
        <v>157403000000</v>
      </c>
      <c r="E330" s="23" t="n">
        <v>52778000000</v>
      </c>
      <c r="F330" s="23" t="n">
        <v>24039000000</v>
      </c>
      <c r="G330" s="23" t="n">
        <v>27069000000</v>
      </c>
      <c r="H330" s="23" t="n">
        <v>17105000000</v>
      </c>
      <c r="I330" s="4" t="n">
        <v>16.69</v>
      </c>
      <c r="J330" s="23" t="n">
        <v>1025000000</v>
      </c>
      <c r="K330" s="23" t="n">
        <v>1617000000</v>
      </c>
      <c r="L330" s="23" t="n">
        <v>14615000000</v>
      </c>
      <c r="M330" s="23" t="n">
        <v>-3119000000</v>
      </c>
      <c r="N330" s="23" t="n">
        <v>11496000000</v>
      </c>
      <c r="O330" s="23" t="n">
        <v>366000000</v>
      </c>
      <c r="P330" s="23" t="n">
        <v>50364000000</v>
      </c>
      <c r="Q330" s="23" t="n">
        <v>2757000000</v>
      </c>
      <c r="R330" s="23" t="n">
        <v>1562000000</v>
      </c>
      <c r="S330" s="4" t="n">
        <v>18.7718040621266</v>
      </c>
    </row>
    <row r="331" customFormat="false" ht="15" hidden="false" customHeight="false" outlineLevel="0" collapsed="false">
      <c r="A331" s="4" t="s">
        <v>354</v>
      </c>
      <c r="B331" s="4" t="n">
        <v>2021</v>
      </c>
      <c r="C331" s="4" t="s">
        <v>609</v>
      </c>
      <c r="D331" s="23" t="n">
        <v>151157000000</v>
      </c>
      <c r="E331" s="23" t="n">
        <v>50832000000</v>
      </c>
      <c r="F331" s="23" t="n">
        <v>23040000000</v>
      </c>
      <c r="G331" s="23" t="n">
        <v>25946000000</v>
      </c>
      <c r="H331" s="23" t="n">
        <v>16433000000</v>
      </c>
      <c r="I331" s="4" t="n">
        <v>15.53</v>
      </c>
      <c r="J331" s="23" t="n">
        <v>1058000000</v>
      </c>
      <c r="K331" s="23" t="n">
        <v>1347000000</v>
      </c>
      <c r="L331" s="23" t="n">
        <v>16571000000</v>
      </c>
      <c r="M331" s="23" t="n">
        <v>-2566000000</v>
      </c>
      <c r="N331" s="23" t="n">
        <v>14005000000</v>
      </c>
      <c r="O331" s="23" t="n">
        <v>399000000</v>
      </c>
      <c r="P331" s="23" t="n">
        <v>46269000000</v>
      </c>
      <c r="Q331" s="23" t="n">
        <v>2343000000</v>
      </c>
      <c r="R331" s="23" t="n">
        <v>-1696000000</v>
      </c>
      <c r="S331" s="4" t="n">
        <v>23.5394483643361</v>
      </c>
    </row>
    <row r="332" customFormat="false" ht="15" hidden="false" customHeight="false" outlineLevel="0" collapsed="false">
      <c r="A332" s="4" t="s">
        <v>359</v>
      </c>
      <c r="B332" s="4" t="n">
        <v>2025</v>
      </c>
      <c r="C332" s="4" t="s">
        <v>103</v>
      </c>
      <c r="D332" s="23" t="n">
        <v>4473000000</v>
      </c>
      <c r="E332" s="23" t="n">
        <v>3728000000</v>
      </c>
      <c r="F332" s="23" t="n">
        <v>2094000000</v>
      </c>
      <c r="G332" s="23" t="n">
        <v>2180000000</v>
      </c>
      <c r="H332" s="23" t="n">
        <v>1883000000</v>
      </c>
      <c r="I332" s="4" t="n">
        <v>2.05</v>
      </c>
      <c r="J332" s="23" t="n">
        <v>918781846</v>
      </c>
      <c r="K332" s="23" t="n">
        <v>0</v>
      </c>
      <c r="L332" s="23" t="n">
        <v>1638000000</v>
      </c>
      <c r="M332" s="23" t="n">
        <v>-54000000</v>
      </c>
      <c r="N332" s="23" t="n">
        <v>1584000000</v>
      </c>
      <c r="O332" s="23" t="n">
        <v>305000000</v>
      </c>
      <c r="P332" s="23" t="n">
        <v>11626000000</v>
      </c>
      <c r="Q332" s="23" t="n">
        <v>10451000000</v>
      </c>
      <c r="R332" s="23" t="n">
        <v>9151000000</v>
      </c>
      <c r="S332" s="4" t="n">
        <v>53.3490566037736</v>
      </c>
    </row>
    <row r="333" customFormat="false" ht="15" hidden="false" customHeight="false" outlineLevel="0" collapsed="false">
      <c r="A333" s="4" t="s">
        <v>359</v>
      </c>
      <c r="B333" s="4" t="n">
        <v>2024</v>
      </c>
      <c r="C333" s="4" t="s">
        <v>572</v>
      </c>
      <c r="D333" s="23" t="n">
        <v>2951000000</v>
      </c>
      <c r="E333" s="23" t="n">
        <v>2344000000</v>
      </c>
      <c r="F333" s="23" t="n">
        <v>1054000000</v>
      </c>
      <c r="G333" s="23" t="n">
        <v>1131000000</v>
      </c>
      <c r="H333" s="23" t="n">
        <v>1411000000</v>
      </c>
      <c r="I333" s="4" t="n">
        <v>1.56</v>
      </c>
      <c r="J333" s="23" t="n">
        <v>906171504</v>
      </c>
      <c r="K333" s="23" t="n">
        <v>24000000</v>
      </c>
      <c r="L333" s="23" t="n">
        <v>-157000000</v>
      </c>
      <c r="M333" s="23" t="n">
        <v>-50000000</v>
      </c>
      <c r="N333" s="23" t="n">
        <v>-207000000</v>
      </c>
      <c r="O333" s="23" t="n">
        <v>304000000</v>
      </c>
      <c r="P333" s="23" t="n">
        <v>7463000000</v>
      </c>
      <c r="Q333" s="23" t="n">
        <v>10496000000</v>
      </c>
      <c r="R333" s="23" t="n">
        <v>7972000000</v>
      </c>
      <c r="S333" s="4" t="n">
        <v>23.2875</v>
      </c>
    </row>
    <row r="334" customFormat="false" ht="15" hidden="false" customHeight="false" outlineLevel="0" collapsed="false">
      <c r="A334" s="4" t="s">
        <v>359</v>
      </c>
      <c r="B334" s="4" t="n">
        <v>2023</v>
      </c>
      <c r="C334" s="4" t="s">
        <v>573</v>
      </c>
      <c r="D334" s="23" t="n">
        <v>1865000000</v>
      </c>
      <c r="E334" s="23" t="n">
        <v>1719000000</v>
      </c>
      <c r="F334" s="23" t="n">
        <v>-536000000</v>
      </c>
      <c r="G334" s="23" t="n">
        <v>-465000000</v>
      </c>
      <c r="H334" s="23" t="n">
        <v>-541000000</v>
      </c>
      <c r="I334" s="4" t="n">
        <v>-0.6073</v>
      </c>
      <c r="J334" s="23" t="n">
        <v>890857659</v>
      </c>
      <c r="K334" s="23" t="n">
        <v>23000000</v>
      </c>
      <c r="L334" s="23" t="n">
        <v>1181000000</v>
      </c>
      <c r="M334" s="23" t="n">
        <v>-21000000</v>
      </c>
      <c r="N334" s="23" t="n">
        <v>1160000000</v>
      </c>
      <c r="O334" s="23" t="n">
        <v>871000000</v>
      </c>
      <c r="P334" s="23" t="n">
        <v>3547000000</v>
      </c>
      <c r="Q334" s="23" t="n">
        <v>8442000000</v>
      </c>
      <c r="R334" s="23" t="n">
        <v>6696000000</v>
      </c>
      <c r="S334" s="4" t="n">
        <v>-20.9780997859378</v>
      </c>
    </row>
    <row r="335" customFormat="false" ht="15" hidden="false" customHeight="false" outlineLevel="0" collapsed="false">
      <c r="A335" s="4" t="s">
        <v>359</v>
      </c>
      <c r="B335" s="4" t="n">
        <v>2022</v>
      </c>
      <c r="C335" s="4" t="s">
        <v>574</v>
      </c>
      <c r="D335" s="23" t="n">
        <v>1358000000</v>
      </c>
      <c r="E335" s="23" t="n">
        <v>770000000</v>
      </c>
      <c r="F335" s="23" t="n">
        <v>-966000000</v>
      </c>
      <c r="G335" s="23" t="n">
        <v>-905000000</v>
      </c>
      <c r="H335" s="23" t="n">
        <v>-1028000000</v>
      </c>
      <c r="I335" s="4" t="n">
        <v>-1.17</v>
      </c>
      <c r="J335" s="23" t="n">
        <v>878630024</v>
      </c>
      <c r="K335" s="23" t="n">
        <v>24000000</v>
      </c>
      <c r="L335" s="23" t="n">
        <v>-852000000</v>
      </c>
      <c r="M335" s="23" t="n">
        <v>-57000000</v>
      </c>
      <c r="N335" s="23" t="n">
        <v>-909000000</v>
      </c>
      <c r="O335" s="23" t="n">
        <v>654000000</v>
      </c>
      <c r="P335" s="23" t="n">
        <v>1834000000</v>
      </c>
      <c r="Q335" s="23" t="n">
        <v>7853000000</v>
      </c>
      <c r="R335" s="23" t="n">
        <v>6956000000</v>
      </c>
      <c r="S335" s="4" t="n">
        <v>-6.95726495726496</v>
      </c>
    </row>
    <row r="336" customFormat="false" ht="15" hidden="false" customHeight="false" outlineLevel="0" collapsed="false">
      <c r="A336" s="4" t="s">
        <v>359</v>
      </c>
      <c r="B336" s="4" t="n">
        <v>2021</v>
      </c>
      <c r="C336" s="4" t="s">
        <v>575</v>
      </c>
      <c r="D336" s="23" t="n">
        <v>1815000000</v>
      </c>
      <c r="E336" s="23" t="n">
        <v>1306000000</v>
      </c>
      <c r="F336" s="23" t="n">
        <v>-1641000000</v>
      </c>
      <c r="G336" s="23" t="n">
        <v>-1615000000</v>
      </c>
      <c r="H336" s="23" t="n">
        <v>-3687000000</v>
      </c>
      <c r="I336" s="4" t="n">
        <v>-4.2671</v>
      </c>
      <c r="J336" s="23" t="n">
        <v>863912613</v>
      </c>
      <c r="K336" s="23" t="n">
        <v>20218000</v>
      </c>
      <c r="L336" s="23" t="n">
        <v>-884773000</v>
      </c>
      <c r="M336" s="23" t="n">
        <v>-83653000</v>
      </c>
      <c r="N336" s="23" t="n">
        <v>-968426000</v>
      </c>
      <c r="O336" s="23" t="n">
        <v>1572000000</v>
      </c>
      <c r="P336" s="23" t="n">
        <v>3651000000</v>
      </c>
      <c r="Q336" s="23" t="n">
        <v>8087000000</v>
      </c>
      <c r="R336" s="23" t="n">
        <v>7293000000</v>
      </c>
      <c r="S336" s="4" t="n">
        <v>-4.16207728902533</v>
      </c>
    </row>
    <row r="337" customFormat="false" ht="15" hidden="false" customHeight="false" outlineLevel="0" collapsed="false">
      <c r="A337" s="4" t="s">
        <v>362</v>
      </c>
      <c r="B337" s="4" t="n">
        <v>2025</v>
      </c>
      <c r="C337" s="4" t="s">
        <v>103</v>
      </c>
      <c r="D337" s="23" t="n">
        <v>67536000000</v>
      </c>
      <c r="E337" s="23" t="n">
        <v>39297000000</v>
      </c>
      <c r="F337" s="23" t="n">
        <v>12492000000</v>
      </c>
      <c r="G337" s="23" t="n">
        <v>17284000000</v>
      </c>
      <c r="H337" s="23" t="n">
        <v>10593000000</v>
      </c>
      <c r="I337" s="4" t="n">
        <v>11.17</v>
      </c>
      <c r="J337" s="23" t="n">
        <v>948700000</v>
      </c>
      <c r="K337" s="23" t="n">
        <v>1935000000</v>
      </c>
      <c r="L337" s="23" t="n">
        <v>13193000000</v>
      </c>
      <c r="M337" s="23" t="n">
        <v>-1091000000</v>
      </c>
      <c r="N337" s="23" t="n">
        <v>12102000000</v>
      </c>
      <c r="O337" s="23" t="n">
        <v>1715000000</v>
      </c>
      <c r="P337" s="23" t="n">
        <v>67154000000</v>
      </c>
      <c r="Q337" s="23" t="n">
        <v>14471000000</v>
      </c>
      <c r="R337" s="23" t="n">
        <v>32741000000</v>
      </c>
      <c r="S337" s="4" t="n">
        <v>26.074823943662</v>
      </c>
    </row>
    <row r="338" customFormat="false" ht="15" hidden="false" customHeight="false" outlineLevel="0" collapsed="false">
      <c r="A338" s="4" t="s">
        <v>362</v>
      </c>
      <c r="B338" s="4" t="n">
        <v>2024</v>
      </c>
      <c r="C338" s="4" t="s">
        <v>572</v>
      </c>
      <c r="D338" s="23" t="n">
        <v>62753000000</v>
      </c>
      <c r="E338" s="23" t="n">
        <v>35551000000</v>
      </c>
      <c r="F338" s="23" t="n">
        <v>10074000000</v>
      </c>
      <c r="G338" s="23" t="n">
        <v>12176000000</v>
      </c>
      <c r="H338" s="23" t="n">
        <v>6023000000</v>
      </c>
      <c r="I338" s="4" t="n">
        <v>6.43</v>
      </c>
      <c r="J338" s="23" t="n">
        <v>937200000</v>
      </c>
      <c r="K338" s="23" t="n">
        <v>1712000000</v>
      </c>
      <c r="L338" s="23" t="n">
        <v>13445000000</v>
      </c>
      <c r="M338" s="23" t="n">
        <v>-1685000000</v>
      </c>
      <c r="N338" s="23" t="n">
        <v>11760000000</v>
      </c>
      <c r="O338" s="23" t="n">
        <v>1311000000</v>
      </c>
      <c r="P338" s="23" t="n">
        <v>58396000000</v>
      </c>
      <c r="Q338" s="23" t="n">
        <v>14591000000</v>
      </c>
      <c r="R338" s="23" t="n">
        <v>27393000000</v>
      </c>
      <c r="S338" s="4" t="n">
        <v>33.6646248085758</v>
      </c>
    </row>
    <row r="339" customFormat="false" ht="15" hidden="false" customHeight="false" outlineLevel="0" collapsed="false">
      <c r="A339" s="4" t="s">
        <v>362</v>
      </c>
      <c r="B339" s="4" t="n">
        <v>2023</v>
      </c>
      <c r="C339" s="4" t="s">
        <v>573</v>
      </c>
      <c r="D339" s="23" t="n">
        <v>61860000000</v>
      </c>
      <c r="E339" s="23" t="n">
        <v>34300000000</v>
      </c>
      <c r="F339" s="23" t="n">
        <v>9821000000</v>
      </c>
      <c r="G339" s="23" t="n">
        <v>14693000000</v>
      </c>
      <c r="H339" s="23" t="n">
        <v>7502000000</v>
      </c>
      <c r="I339" s="4" t="n">
        <v>8.14</v>
      </c>
      <c r="J339" s="23" t="n">
        <v>922074000</v>
      </c>
      <c r="K339" s="23" t="n">
        <v>1607000000</v>
      </c>
      <c r="L339" s="23" t="n">
        <v>13931000000</v>
      </c>
      <c r="M339" s="23" t="n">
        <v>-1810000000</v>
      </c>
      <c r="N339" s="23" t="n">
        <v>12121000000</v>
      </c>
      <c r="O339" s="23" t="n">
        <v>1133000000</v>
      </c>
      <c r="P339" s="23" t="n">
        <v>59935000000</v>
      </c>
      <c r="Q339" s="23" t="n">
        <v>13441000000</v>
      </c>
      <c r="R339" s="23" t="n">
        <v>22613000000</v>
      </c>
      <c r="S339" s="4" t="n">
        <v>19.8724179829891</v>
      </c>
    </row>
    <row r="340" customFormat="false" ht="15" hidden="false" customHeight="false" outlineLevel="0" collapsed="false">
      <c r="A340" s="4" t="s">
        <v>362</v>
      </c>
      <c r="B340" s="4" t="n">
        <v>2022</v>
      </c>
      <c r="C340" s="4" t="s">
        <v>574</v>
      </c>
      <c r="D340" s="23" t="n">
        <v>60530000000</v>
      </c>
      <c r="E340" s="23" t="n">
        <v>32687000000</v>
      </c>
      <c r="F340" s="23" t="n">
        <v>8174000000</v>
      </c>
      <c r="G340" s="23" t="n">
        <v>7174000000</v>
      </c>
      <c r="H340" s="23" t="n">
        <v>1640000000</v>
      </c>
      <c r="I340" s="4" t="n">
        <v>1.8</v>
      </c>
      <c r="J340" s="23" t="n">
        <v>912269000</v>
      </c>
      <c r="K340" s="23" t="n">
        <v>1216000000</v>
      </c>
      <c r="L340" s="23" t="n">
        <v>10435000000</v>
      </c>
      <c r="M340" s="23" t="n">
        <v>-1972000000</v>
      </c>
      <c r="N340" s="23" t="n">
        <v>8463000000</v>
      </c>
      <c r="O340" s="23" t="n">
        <v>987000000</v>
      </c>
      <c r="P340" s="23" t="n">
        <v>54013000000</v>
      </c>
      <c r="Q340" s="23" t="n">
        <v>8738000000</v>
      </c>
      <c r="R340" s="23" t="n">
        <v>22021000000</v>
      </c>
      <c r="S340" s="4" t="n">
        <v>77.4120879120879</v>
      </c>
    </row>
    <row r="341" customFormat="false" ht="15" hidden="false" customHeight="false" outlineLevel="0" collapsed="false">
      <c r="A341" s="4" t="s">
        <v>362</v>
      </c>
      <c r="B341" s="4" t="n">
        <v>2021</v>
      </c>
      <c r="C341" s="4" t="s">
        <v>575</v>
      </c>
      <c r="D341" s="23" t="n">
        <v>57351000000</v>
      </c>
      <c r="E341" s="23" t="n">
        <v>31486000000</v>
      </c>
      <c r="F341" s="23" t="n">
        <v>6865000000</v>
      </c>
      <c r="G341" s="23" t="n">
        <v>12409000000</v>
      </c>
      <c r="H341" s="23" t="n">
        <v>5742000000</v>
      </c>
      <c r="I341" s="4" t="n">
        <v>6.35</v>
      </c>
      <c r="J341" s="23" t="n">
        <v>904641000</v>
      </c>
      <c r="K341" s="23" t="n">
        <v>1155000000</v>
      </c>
      <c r="L341" s="23" t="n">
        <v>12796000000</v>
      </c>
      <c r="M341" s="23" t="n">
        <v>-2768000000</v>
      </c>
      <c r="N341" s="23" t="n">
        <v>10028000000</v>
      </c>
      <c r="O341" s="23" t="n">
        <v>982000000</v>
      </c>
      <c r="P341" s="23" t="n">
        <v>55140000000</v>
      </c>
      <c r="Q341" s="23" t="n">
        <v>7250000000</v>
      </c>
      <c r="R341" s="23" t="n">
        <v>18996000000</v>
      </c>
      <c r="S341" s="4" t="n">
        <v>20.8517940717629</v>
      </c>
    </row>
    <row r="342" customFormat="false" ht="15" hidden="false" customHeight="false" outlineLevel="0" collapsed="false">
      <c r="A342" s="4" t="s">
        <v>365</v>
      </c>
      <c r="B342" s="4" t="n">
        <v>2025</v>
      </c>
      <c r="C342" s="4" t="s">
        <v>103</v>
      </c>
      <c r="D342" s="23" t="n">
        <v>12638000000</v>
      </c>
      <c r="E342" s="23" t="n">
        <v>7821000000</v>
      </c>
      <c r="F342" s="23" t="n">
        <v>4896000000</v>
      </c>
      <c r="G342" s="23" t="n">
        <v>6643000000</v>
      </c>
      <c r="H342" s="23" t="n">
        <v>3304000000</v>
      </c>
      <c r="I342" s="4" t="n">
        <v>5.77</v>
      </c>
      <c r="J342" s="23" t="n">
        <v>571140940</v>
      </c>
      <c r="K342" s="23" t="n">
        <v>781000000</v>
      </c>
      <c r="L342" s="23" t="n">
        <v>4662000000</v>
      </c>
      <c r="M342" s="23" t="n">
        <v>-373000000</v>
      </c>
      <c r="N342" s="23" t="n">
        <v>4289000000</v>
      </c>
      <c r="O342" s="23" t="n">
        <v>238000000</v>
      </c>
      <c r="P342" s="23" t="n">
        <v>20279000000</v>
      </c>
      <c r="Q342" s="23" t="n">
        <v>3616000000</v>
      </c>
      <c r="R342" s="23" t="n">
        <v>28991000000</v>
      </c>
      <c r="S342" s="4" t="n">
        <v>27.9241379310345</v>
      </c>
    </row>
    <row r="343" customFormat="false" ht="15" hidden="false" customHeight="false" outlineLevel="0" collapsed="false">
      <c r="A343" s="4" t="s">
        <v>365</v>
      </c>
      <c r="B343" s="4" t="n">
        <v>2024</v>
      </c>
      <c r="C343" s="4" t="s">
        <v>572</v>
      </c>
      <c r="D343" s="23" t="n">
        <v>11761000000</v>
      </c>
      <c r="E343" s="23" t="n">
        <v>6522000000</v>
      </c>
      <c r="F343" s="23" t="n">
        <v>4309000000</v>
      </c>
      <c r="G343" s="23" t="n">
        <v>6075000000</v>
      </c>
      <c r="H343" s="23" t="n">
        <v>2754000000</v>
      </c>
      <c r="I343" s="4" t="n">
        <v>4.78</v>
      </c>
      <c r="J343" s="23" t="n">
        <v>576000000</v>
      </c>
      <c r="K343" s="23" t="n">
        <v>910000000</v>
      </c>
      <c r="L343" s="23" t="n">
        <v>4609000000</v>
      </c>
      <c r="M343" s="23" t="n">
        <v>-406000000</v>
      </c>
      <c r="N343" s="23" t="n">
        <v>4203000000</v>
      </c>
      <c r="O343" s="23" t="n">
        <v>231000000</v>
      </c>
      <c r="P343" s="23" t="n">
        <v>20703000000</v>
      </c>
      <c r="Q343" s="23" t="n">
        <v>1368000000</v>
      </c>
      <c r="R343" s="23" t="n">
        <v>27720000000</v>
      </c>
      <c r="S343" s="4" t="n">
        <v>31.04375</v>
      </c>
    </row>
    <row r="344" customFormat="false" ht="15" hidden="false" customHeight="false" outlineLevel="0" collapsed="false">
      <c r="A344" s="4" t="s">
        <v>365</v>
      </c>
      <c r="B344" s="4" t="n">
        <v>2023</v>
      </c>
      <c r="C344" s="4" t="s">
        <v>573</v>
      </c>
      <c r="D344" s="23" t="n">
        <v>9903000000</v>
      </c>
      <c r="E344" s="23" t="n">
        <v>5659000000</v>
      </c>
      <c r="F344" s="23" t="n">
        <v>3694000000</v>
      </c>
      <c r="G344" s="23" t="n">
        <v>4917000000</v>
      </c>
      <c r="H344" s="23" t="n">
        <v>2368000000</v>
      </c>
      <c r="I344" s="4" t="n">
        <v>4.19</v>
      </c>
      <c r="J344" s="23" t="n">
        <v>565000000</v>
      </c>
      <c r="K344" s="23" t="n">
        <v>808000000</v>
      </c>
      <c r="L344" s="23" t="n">
        <v>3542000000</v>
      </c>
      <c r="M344" s="23" t="n">
        <v>-190000000</v>
      </c>
      <c r="N344" s="23" t="n">
        <v>3352000000</v>
      </c>
      <c r="O344" s="23" t="n">
        <v>257000000</v>
      </c>
      <c r="P344" s="23" t="n">
        <v>22912000000</v>
      </c>
      <c r="Q344" s="23" t="n">
        <v>1129000000</v>
      </c>
      <c r="R344" s="23" t="n">
        <v>25786000000</v>
      </c>
      <c r="S344" s="4" t="n">
        <v>30.5785714285714</v>
      </c>
    </row>
    <row r="345" customFormat="false" ht="15" hidden="false" customHeight="false" outlineLevel="0" collapsed="false">
      <c r="A345" s="4" t="s">
        <v>365</v>
      </c>
      <c r="B345" s="4" t="n">
        <v>2022</v>
      </c>
      <c r="C345" s="4" t="s">
        <v>574</v>
      </c>
      <c r="D345" s="23" t="n">
        <v>9636000000</v>
      </c>
      <c r="E345" s="23" t="n">
        <v>5202000000</v>
      </c>
      <c r="F345" s="23" t="n">
        <v>3638000000</v>
      </c>
      <c r="G345" s="23" t="n">
        <v>3455000000</v>
      </c>
      <c r="H345" s="23" t="n">
        <v>1446000000</v>
      </c>
      <c r="I345" s="4" t="n">
        <v>2.58</v>
      </c>
      <c r="J345" s="23" t="n">
        <v>561000000</v>
      </c>
      <c r="K345" s="23" t="n">
        <v>616000000</v>
      </c>
      <c r="L345" s="23" t="n">
        <v>3554000000</v>
      </c>
      <c r="M345" s="23" t="n">
        <v>-482000000</v>
      </c>
      <c r="N345" s="23" t="n">
        <v>3072000000</v>
      </c>
      <c r="O345" s="23" t="n">
        <v>155000000</v>
      </c>
      <c r="P345" s="23" t="n">
        <v>18376000000</v>
      </c>
      <c r="Q345" s="23" t="n">
        <v>7948000000</v>
      </c>
      <c r="R345" s="23" t="n">
        <v>22761000000</v>
      </c>
      <c r="S345" s="4" t="n">
        <v>39.6100386100386</v>
      </c>
    </row>
    <row r="346" customFormat="false" ht="15" hidden="false" customHeight="false" outlineLevel="0" collapsed="false">
      <c r="A346" s="4" t="s">
        <v>365</v>
      </c>
      <c r="B346" s="4" t="n">
        <v>2021</v>
      </c>
      <c r="C346" s="4" t="s">
        <v>575</v>
      </c>
      <c r="D346" s="23" t="n">
        <v>9168000000</v>
      </c>
      <c r="E346" s="23" t="n">
        <v>5018000000</v>
      </c>
      <c r="F346" s="23" t="n">
        <v>3449000000</v>
      </c>
      <c r="G346" s="23" t="n">
        <v>7130000000</v>
      </c>
      <c r="H346" s="23" t="n">
        <v>4058000000</v>
      </c>
      <c r="I346" s="4" t="n">
        <v>7.18</v>
      </c>
      <c r="J346" s="23" t="n">
        <v>565000000</v>
      </c>
      <c r="K346" s="23" t="n">
        <v>423000000</v>
      </c>
      <c r="L346" s="23" t="n">
        <v>3123000000</v>
      </c>
      <c r="M346" s="23" t="n">
        <v>-452000000</v>
      </c>
      <c r="N346" s="23" t="n">
        <v>2671000000</v>
      </c>
      <c r="O346" s="23" t="n">
        <v>188000000</v>
      </c>
      <c r="P346" s="23" t="n">
        <v>14170000000</v>
      </c>
      <c r="Q346" s="23" t="n">
        <v>607000000</v>
      </c>
      <c r="R346" s="23" t="n">
        <v>22748000000</v>
      </c>
      <c r="S346" s="4" t="n">
        <v>18.9432132963989</v>
      </c>
    </row>
    <row r="347" customFormat="false" ht="15" hidden="false" customHeight="false" outlineLevel="0" collapsed="false">
      <c r="A347" s="4" t="s">
        <v>368</v>
      </c>
      <c r="B347" s="4" t="n">
        <v>2025</v>
      </c>
      <c r="C347" s="4" t="s">
        <v>103</v>
      </c>
      <c r="D347" s="23" t="n">
        <v>33986000000</v>
      </c>
      <c r="E347" s="23" t="n">
        <v>12834000000</v>
      </c>
      <c r="F347" s="23" t="n">
        <v>9254000000</v>
      </c>
      <c r="G347" s="23" t="n">
        <v>13017000000</v>
      </c>
      <c r="H347" s="23" t="n">
        <v>6898000000</v>
      </c>
      <c r="I347" s="4" t="n">
        <v>14.59</v>
      </c>
      <c r="J347" s="23" t="n">
        <v>468702000</v>
      </c>
      <c r="K347" s="23" t="n">
        <v>464000000</v>
      </c>
      <c r="L347" s="23" t="n">
        <v>10350000000</v>
      </c>
      <c r="M347" s="23" t="n">
        <v>-5261000000</v>
      </c>
      <c r="N347" s="23" t="n">
        <v>5089000000</v>
      </c>
      <c r="O347" s="23" t="n">
        <v>133000000</v>
      </c>
      <c r="P347" s="23" t="n">
        <v>26989000000</v>
      </c>
      <c r="Q347" s="23" t="n">
        <v>5056000000</v>
      </c>
      <c r="R347" s="23" t="n">
        <v>39741000000</v>
      </c>
      <c r="S347" s="4" t="n">
        <v>29.0654396728016</v>
      </c>
    </row>
    <row r="348" customFormat="false" ht="15" hidden="false" customHeight="false" outlineLevel="0" collapsed="false">
      <c r="A348" s="4" t="s">
        <v>368</v>
      </c>
      <c r="B348" s="4" t="n">
        <v>2024</v>
      </c>
      <c r="C348" s="4" t="s">
        <v>572</v>
      </c>
      <c r="D348" s="23" t="n">
        <v>33005000000</v>
      </c>
      <c r="E348" s="23" t="n">
        <v>12082000000</v>
      </c>
      <c r="F348" s="23" t="n">
        <v>8595000000</v>
      </c>
      <c r="G348" s="23" t="n">
        <v>12375000000</v>
      </c>
      <c r="H348" s="23" t="n">
        <v>6565000000</v>
      </c>
      <c r="I348" s="4" t="n">
        <v>13.62</v>
      </c>
      <c r="J348" s="23" t="n">
        <v>482092000</v>
      </c>
      <c r="K348" s="23" t="n">
        <v>572000000</v>
      </c>
      <c r="L348" s="23" t="n">
        <v>9423000000</v>
      </c>
      <c r="M348" s="23" t="n">
        <v>-4497000000</v>
      </c>
      <c r="N348" s="23" t="n">
        <v>4926000000</v>
      </c>
      <c r="O348" s="23" t="n">
        <v>0</v>
      </c>
      <c r="P348" s="23" t="n">
        <v>22609000000</v>
      </c>
      <c r="Q348" s="23" t="n">
        <v>4850000000</v>
      </c>
      <c r="R348" s="23" t="n">
        <v>39488000000</v>
      </c>
      <c r="S348" s="4" t="n">
        <v>30.5375638220277</v>
      </c>
    </row>
    <row r="349" customFormat="false" ht="15" hidden="false" customHeight="false" outlineLevel="0" collapsed="false">
      <c r="A349" s="4" t="s">
        <v>368</v>
      </c>
      <c r="B349" s="4" t="n">
        <v>2023</v>
      </c>
      <c r="C349" s="4" t="s">
        <v>573</v>
      </c>
      <c r="D349" s="23" t="n">
        <v>32854000000</v>
      </c>
      <c r="E349" s="23" t="n">
        <v>11546000000</v>
      </c>
      <c r="F349" s="23" t="n">
        <v>8105000000</v>
      </c>
      <c r="G349" s="23" t="n">
        <v>11921000000</v>
      </c>
      <c r="H349" s="23" t="n">
        <v>6199000000</v>
      </c>
      <c r="I349" s="4" t="n">
        <v>12.59</v>
      </c>
      <c r="J349" s="23" t="n">
        <v>492290000</v>
      </c>
      <c r="K349" s="23" t="n">
        <v>488000000</v>
      </c>
      <c r="L349" s="23" t="n">
        <v>9305000000</v>
      </c>
      <c r="M349" s="23" t="n">
        <v>-3787000000</v>
      </c>
      <c r="N349" s="23" t="n">
        <v>5518000000</v>
      </c>
      <c r="O349" s="23" t="n">
        <v>141000000</v>
      </c>
      <c r="P349" s="23" t="n">
        <v>20315000000</v>
      </c>
      <c r="Q349" s="23" t="n">
        <v>4664000000</v>
      </c>
      <c r="R349" s="23" t="n">
        <v>41095000000</v>
      </c>
      <c r="S349" s="4" t="n">
        <v>32.3393700787402</v>
      </c>
    </row>
    <row r="350" customFormat="false" ht="15" hidden="false" customHeight="false" outlineLevel="0" collapsed="false">
      <c r="A350" s="4" t="s">
        <v>368</v>
      </c>
      <c r="B350" s="4" t="n">
        <v>2022</v>
      </c>
      <c r="C350" s="4" t="s">
        <v>574</v>
      </c>
      <c r="D350" s="23" t="n">
        <v>33364000000</v>
      </c>
      <c r="E350" s="23" t="n">
        <v>9710000000</v>
      </c>
      <c r="F350" s="23" t="n">
        <v>6460000000</v>
      </c>
      <c r="G350" s="23" t="n">
        <v>10664000000</v>
      </c>
      <c r="H350" s="23" t="n">
        <v>4147000000</v>
      </c>
      <c r="I350" s="4" t="n">
        <v>8.23</v>
      </c>
      <c r="J350" s="23" t="n">
        <v>504038000</v>
      </c>
      <c r="K350" s="23" t="n">
        <v>192000000</v>
      </c>
      <c r="L350" s="23" t="n">
        <v>8864000000</v>
      </c>
      <c r="M350" s="23" t="n">
        <v>-3173000000</v>
      </c>
      <c r="N350" s="23" t="n">
        <v>5691000000</v>
      </c>
      <c r="O350" s="23" t="n">
        <v>107000000</v>
      </c>
      <c r="P350" s="23" t="n">
        <v>18791000000</v>
      </c>
      <c r="Q350" s="23" t="n">
        <v>5436000000</v>
      </c>
      <c r="R350" s="23" t="n">
        <v>41387000000</v>
      </c>
      <c r="S350" s="4" t="n">
        <v>39.2987951807229</v>
      </c>
    </row>
    <row r="351" customFormat="false" ht="15" hidden="false" customHeight="false" outlineLevel="0" collapsed="false">
      <c r="A351" s="4" t="s">
        <v>368</v>
      </c>
      <c r="B351" s="4" t="n">
        <v>2021</v>
      </c>
      <c r="C351" s="4" t="s">
        <v>575</v>
      </c>
      <c r="D351" s="23" t="n">
        <v>30793000000</v>
      </c>
      <c r="E351" s="23" t="n">
        <v>8615000000</v>
      </c>
      <c r="F351" s="23" t="n">
        <v>5283000000</v>
      </c>
      <c r="G351" s="23" t="n">
        <v>9918000000</v>
      </c>
      <c r="H351" s="23" t="n">
        <v>3826000000</v>
      </c>
      <c r="I351" s="4" t="n">
        <v>7.33</v>
      </c>
      <c r="J351" s="23" t="n">
        <v>521875000</v>
      </c>
      <c r="K351" s="23" t="n">
        <v>159000000</v>
      </c>
      <c r="L351" s="23" t="n">
        <v>9725000000</v>
      </c>
      <c r="M351" s="23" t="n">
        <v>-3086000000</v>
      </c>
      <c r="N351" s="23" t="n">
        <v>6639000000</v>
      </c>
      <c r="O351" s="23" t="n">
        <v>128000000</v>
      </c>
      <c r="P351" s="23" t="n">
        <v>15216000000</v>
      </c>
      <c r="Q351" s="23" t="n">
        <v>2823000000</v>
      </c>
      <c r="R351" s="23" t="n">
        <v>45441000000</v>
      </c>
      <c r="S351" s="4" t="n">
        <v>46.8148648648649</v>
      </c>
    </row>
    <row r="352" customFormat="false" ht="15" hidden="false" customHeight="false" outlineLevel="0" collapsed="false">
      <c r="A352" s="4" t="s">
        <v>373</v>
      </c>
      <c r="B352" s="4" t="n">
        <v>2025</v>
      </c>
      <c r="C352" s="4" t="s">
        <v>103</v>
      </c>
      <c r="D352" s="23" t="n">
        <v>26885000000</v>
      </c>
      <c r="E352" s="23" t="n">
        <v>15435000000</v>
      </c>
      <c r="F352" s="23" t="n">
        <v>12393000000</v>
      </c>
      <c r="G352" s="23" t="n">
        <v>14678000000</v>
      </c>
      <c r="H352" s="23" t="n">
        <v>8563000000</v>
      </c>
      <c r="I352" s="4" t="n">
        <v>11.95</v>
      </c>
      <c r="J352" s="23" t="n">
        <v>716400000</v>
      </c>
      <c r="K352" s="23" t="n">
        <v>1582000000</v>
      </c>
      <c r="L352" s="23" t="n">
        <v>10551000000</v>
      </c>
      <c r="M352" s="23" t="n">
        <v>-3365000000</v>
      </c>
      <c r="N352" s="23" t="n">
        <v>7186000000</v>
      </c>
      <c r="O352" s="23" t="n">
        <v>165000000</v>
      </c>
      <c r="P352" s="23" t="n">
        <v>54814000000</v>
      </c>
      <c r="Q352" s="23" t="n">
        <v>774000000</v>
      </c>
      <c r="R352" s="23" t="n">
        <v>-1791000000</v>
      </c>
      <c r="S352" s="4" t="n">
        <v>25.4691666666667</v>
      </c>
    </row>
    <row r="353" customFormat="false" ht="15" hidden="false" customHeight="false" outlineLevel="0" collapsed="false">
      <c r="A353" s="4" t="s">
        <v>373</v>
      </c>
      <c r="B353" s="4" t="n">
        <v>2024</v>
      </c>
      <c r="C353" s="4" t="s">
        <v>572</v>
      </c>
      <c r="D353" s="23" t="n">
        <v>25920000000</v>
      </c>
      <c r="E353" s="23" t="n">
        <v>14710000000</v>
      </c>
      <c r="F353" s="23" t="n">
        <v>11712000000</v>
      </c>
      <c r="G353" s="23" t="n">
        <v>13948000000</v>
      </c>
      <c r="H353" s="23" t="n">
        <v>8223000000</v>
      </c>
      <c r="I353" s="4" t="n">
        <v>11.39</v>
      </c>
      <c r="J353" s="23" t="n">
        <v>721900000</v>
      </c>
      <c r="K353" s="23" t="n">
        <v>1506000000</v>
      </c>
      <c r="L353" s="23" t="n">
        <v>9447000000</v>
      </c>
      <c r="M353" s="23" t="n">
        <v>-2775000000</v>
      </c>
      <c r="N353" s="23" t="n">
        <v>6672000000</v>
      </c>
      <c r="O353" s="23" t="n">
        <v>172000000</v>
      </c>
      <c r="P353" s="23" t="n">
        <v>51948000000</v>
      </c>
      <c r="Q353" s="23" t="n">
        <v>1085000000</v>
      </c>
      <c r="R353" s="23" t="n">
        <v>-3797000000</v>
      </c>
      <c r="S353" s="4" t="n">
        <v>25.317903930131</v>
      </c>
    </row>
    <row r="354" customFormat="false" ht="15" hidden="false" customHeight="false" outlineLevel="0" collapsed="false">
      <c r="A354" s="4" t="s">
        <v>373</v>
      </c>
      <c r="B354" s="4" t="n">
        <v>2023</v>
      </c>
      <c r="C354" s="4" t="s">
        <v>573</v>
      </c>
      <c r="D354" s="23" t="n">
        <v>25495000000</v>
      </c>
      <c r="E354" s="23" t="n">
        <v>14564000000</v>
      </c>
      <c r="F354" s="23" t="n">
        <v>11647000000</v>
      </c>
      <c r="G354" s="23" t="n">
        <v>13861000000</v>
      </c>
      <c r="H354" s="23" t="n">
        <v>8469000000</v>
      </c>
      <c r="I354" s="4" t="n">
        <v>11.56</v>
      </c>
      <c r="J354" s="23" t="n">
        <v>732300000</v>
      </c>
      <c r="K354" s="23" t="n">
        <v>1361000000</v>
      </c>
      <c r="L354" s="23" t="n">
        <v>9611900000</v>
      </c>
      <c r="M354" s="23" t="n">
        <v>-2357400000</v>
      </c>
      <c r="N354" s="23" t="n">
        <v>7254500000</v>
      </c>
      <c r="O354" s="23" t="n">
        <v>175200000</v>
      </c>
      <c r="P354" s="23" t="n">
        <v>53091000000</v>
      </c>
      <c r="Q354" s="23" t="n">
        <v>4579000000</v>
      </c>
      <c r="R354" s="23" t="n">
        <v>-4707000000</v>
      </c>
      <c r="S354" s="4" t="n">
        <v>25.4952708512468</v>
      </c>
    </row>
    <row r="355" customFormat="false" ht="15" hidden="false" customHeight="false" outlineLevel="0" collapsed="false">
      <c r="A355" s="4" t="s">
        <v>373</v>
      </c>
      <c r="B355" s="4" t="n">
        <v>2022</v>
      </c>
      <c r="C355" s="4" t="s">
        <v>574</v>
      </c>
      <c r="D355" s="23" t="n">
        <v>23182000000</v>
      </c>
      <c r="E355" s="23" t="n">
        <v>13207000000</v>
      </c>
      <c r="F355" s="23" t="n">
        <v>9371000000</v>
      </c>
      <c r="G355" s="23" t="n">
        <v>10903000000</v>
      </c>
      <c r="H355" s="23" t="n">
        <v>6177000000</v>
      </c>
      <c r="I355" s="4" t="n">
        <v>8.33</v>
      </c>
      <c r="J355" s="23" t="n">
        <v>741300000</v>
      </c>
      <c r="K355" s="23" t="n">
        <v>1207000000</v>
      </c>
      <c r="L355" s="23" t="n">
        <v>7386700000</v>
      </c>
      <c r="M355" s="23" t="n">
        <v>-1899200000</v>
      </c>
      <c r="N355" s="23" t="n">
        <v>5487500000</v>
      </c>
      <c r="O355" s="23" t="n">
        <v>167000000</v>
      </c>
      <c r="P355" s="23" t="n">
        <v>48699000000</v>
      </c>
      <c r="Q355" s="23" t="n">
        <v>2583800000</v>
      </c>
      <c r="R355" s="23" t="n">
        <v>-6003400000</v>
      </c>
      <c r="S355" s="4" t="n">
        <v>31.4100119189511</v>
      </c>
    </row>
    <row r="356" customFormat="false" ht="15" hidden="false" customHeight="false" outlineLevel="0" collapsed="false">
      <c r="A356" s="4" t="s">
        <v>373</v>
      </c>
      <c r="B356" s="4" t="n">
        <v>2021</v>
      </c>
      <c r="C356" s="4" t="s">
        <v>575</v>
      </c>
      <c r="D356" s="23" t="n">
        <v>23222900000</v>
      </c>
      <c r="E356" s="23" t="n">
        <v>12580200000</v>
      </c>
      <c r="F356" s="23" t="n">
        <v>10356000000</v>
      </c>
      <c r="G356" s="23" t="n">
        <v>12181800000</v>
      </c>
      <c r="H356" s="23" t="n">
        <v>7545200000</v>
      </c>
      <c r="I356" s="4" t="n">
        <v>10.04</v>
      </c>
      <c r="J356" s="23" t="n">
        <v>751800000</v>
      </c>
      <c r="K356" s="23" t="n">
        <v>1185800000</v>
      </c>
      <c r="L356" s="23" t="n">
        <v>9141500000</v>
      </c>
      <c r="M356" s="23" t="n">
        <v>-2040000000</v>
      </c>
      <c r="N356" s="23" t="n">
        <v>7101500000</v>
      </c>
      <c r="O356" s="23" t="n">
        <v>139200000</v>
      </c>
      <c r="P356" s="23" t="n">
        <v>49349100000</v>
      </c>
      <c r="Q356" s="23" t="n">
        <v>4709200000</v>
      </c>
      <c r="R356" s="23" t="n">
        <v>-4601000000</v>
      </c>
      <c r="S356" s="4" t="n">
        <v>26.515331355094</v>
      </c>
    </row>
    <row r="357" customFormat="false" ht="15" hidden="false" customHeight="false" outlineLevel="0" collapsed="false">
      <c r="A357" s="4" t="s">
        <v>377</v>
      </c>
      <c r="B357" s="4" t="n">
        <v>2026</v>
      </c>
      <c r="C357" s="4" t="s">
        <v>379</v>
      </c>
      <c r="D357" s="23" t="n">
        <v>36364000000</v>
      </c>
      <c r="E357" s="23" t="n">
        <v>23643000000</v>
      </c>
      <c r="F357" s="23" t="n">
        <v>6467000000</v>
      </c>
      <c r="G357" s="23" t="n">
        <v>9809000000</v>
      </c>
      <c r="H357" s="23" t="n">
        <v>4800000000</v>
      </c>
      <c r="I357" s="4" t="n">
        <v>3.73</v>
      </c>
      <c r="J357" s="23" t="n">
        <v>1288100000</v>
      </c>
      <c r="K357" s="23" t="n">
        <v>715000000</v>
      </c>
      <c r="L357" s="23" t="n">
        <v>7330000000</v>
      </c>
      <c r="M357" s="23" t="n">
        <v>-1904000000</v>
      </c>
      <c r="N357" s="23" t="n">
        <v>5426000000</v>
      </c>
      <c r="O357" s="23" t="n">
        <v>457000000</v>
      </c>
      <c r="P357" s="23" t="n">
        <v>27961000000</v>
      </c>
      <c r="Q357" s="23" t="n">
        <v>9220000000</v>
      </c>
      <c r="R357" s="23" t="n">
        <v>50072000000</v>
      </c>
      <c r="S357" s="4" t="n">
        <v>22.2186666666667</v>
      </c>
    </row>
    <row r="358" customFormat="false" ht="15" hidden="false" customHeight="false" outlineLevel="0" collapsed="false">
      <c r="A358" s="4" t="s">
        <v>377</v>
      </c>
      <c r="B358" s="4" t="n">
        <v>2025</v>
      </c>
      <c r="C358" s="4" t="s">
        <v>638</v>
      </c>
      <c r="D358" s="23" t="n">
        <v>33537000000</v>
      </c>
      <c r="E358" s="23" t="n">
        <v>21905000000</v>
      </c>
      <c r="F358" s="23" t="n">
        <v>5955000000</v>
      </c>
      <c r="G358" s="23" t="n">
        <v>9218000000</v>
      </c>
      <c r="H358" s="23" t="n">
        <v>4662000000</v>
      </c>
      <c r="I358" s="4" t="n">
        <v>3.61</v>
      </c>
      <c r="J358" s="23" t="n">
        <v>1289900000</v>
      </c>
      <c r="K358" s="23" t="n">
        <v>729000000</v>
      </c>
      <c r="L358" s="23" t="n">
        <v>7044000000</v>
      </c>
      <c r="M358" s="23" t="n">
        <v>-1859000000</v>
      </c>
      <c r="N358" s="23" t="n">
        <v>5185000000</v>
      </c>
      <c r="O358" s="23" t="n">
        <v>429000000</v>
      </c>
      <c r="P358" s="23" t="n">
        <v>28516000000</v>
      </c>
      <c r="Q358" s="23" t="n">
        <v>8965000000</v>
      </c>
      <c r="R358" s="23" t="n">
        <v>48256000000</v>
      </c>
      <c r="S358" s="4" t="n">
        <v>23.1845730027548</v>
      </c>
    </row>
    <row r="359" customFormat="false" ht="15" hidden="false" customHeight="false" outlineLevel="0" collapsed="false">
      <c r="A359" s="4" t="s">
        <v>377</v>
      </c>
      <c r="B359" s="4" t="n">
        <v>2024</v>
      </c>
      <c r="C359" s="4" t="s">
        <v>639</v>
      </c>
      <c r="D359" s="23" t="n">
        <v>32364000000</v>
      </c>
      <c r="E359" s="23" t="n">
        <v>21148000000</v>
      </c>
      <c r="F359" s="23" t="n">
        <v>5144000000</v>
      </c>
      <c r="G359" s="23" t="n">
        <v>8203000000</v>
      </c>
      <c r="H359" s="23" t="n">
        <v>3676000000</v>
      </c>
      <c r="I359" s="4" t="n">
        <v>2.76</v>
      </c>
      <c r="J359" s="23" t="n">
        <v>1330200000</v>
      </c>
      <c r="K359" s="23" t="n">
        <v>719000000</v>
      </c>
      <c r="L359" s="23" t="n">
        <v>6787000000</v>
      </c>
      <c r="M359" s="23" t="n">
        <v>-1587000000</v>
      </c>
      <c r="N359" s="23" t="n">
        <v>5200000000</v>
      </c>
      <c r="O359" s="23" t="n">
        <v>393000000</v>
      </c>
      <c r="P359" s="23" t="n">
        <v>25024000000</v>
      </c>
      <c r="Q359" s="23" t="n">
        <v>8005000000</v>
      </c>
      <c r="R359" s="23" t="n">
        <v>50420000000</v>
      </c>
      <c r="S359" s="4" t="n">
        <v>28.7870036101083</v>
      </c>
    </row>
    <row r="360" customFormat="false" ht="15" hidden="false" customHeight="false" outlineLevel="0" collapsed="false">
      <c r="A360" s="4" t="s">
        <v>377</v>
      </c>
      <c r="B360" s="4" t="n">
        <v>2023</v>
      </c>
      <c r="C360" s="4" t="s">
        <v>640</v>
      </c>
      <c r="D360" s="23" t="n">
        <v>31227000000</v>
      </c>
      <c r="E360" s="23" t="n">
        <v>20508000000</v>
      </c>
      <c r="F360" s="23" t="n">
        <v>5485000000</v>
      </c>
      <c r="G360" s="23" t="n">
        <v>8697000000</v>
      </c>
      <c r="H360" s="23" t="n">
        <v>3758000000</v>
      </c>
      <c r="I360" s="4" t="n">
        <v>2.82</v>
      </c>
      <c r="J360" s="23" t="n">
        <v>1332800000</v>
      </c>
      <c r="K360" s="23" t="n">
        <v>636000000</v>
      </c>
      <c r="L360" s="23" t="n">
        <v>6039000000</v>
      </c>
      <c r="M360" s="23" t="n">
        <v>-1459000000</v>
      </c>
      <c r="N360" s="23" t="n">
        <v>4580000000</v>
      </c>
      <c r="O360" s="23" t="n">
        <v>355000000</v>
      </c>
      <c r="P360" s="23" t="n">
        <v>24364000000</v>
      </c>
      <c r="Q360" s="23" t="n">
        <v>7959000000</v>
      </c>
      <c r="R360" s="23" t="n">
        <v>51665000000</v>
      </c>
      <c r="S360" s="4" t="n">
        <v>32.1378091872792</v>
      </c>
    </row>
    <row r="361" customFormat="false" ht="15" hidden="false" customHeight="false" outlineLevel="0" collapsed="false">
      <c r="A361" s="4" t="s">
        <v>377</v>
      </c>
      <c r="B361" s="4" t="n">
        <v>2022</v>
      </c>
      <c r="C361" s="4" t="s">
        <v>641</v>
      </c>
      <c r="D361" s="23" t="n">
        <v>31686000000</v>
      </c>
      <c r="E361" s="23" t="n">
        <v>21541000000</v>
      </c>
      <c r="F361" s="23" t="n">
        <v>5752000000</v>
      </c>
      <c r="G361" s="23" t="n">
        <v>8777000000</v>
      </c>
      <c r="H361" s="23" t="n">
        <v>5039000000</v>
      </c>
      <c r="I361" s="4" t="n">
        <v>3.73</v>
      </c>
      <c r="J361" s="23" t="n">
        <v>1351400000</v>
      </c>
      <c r="K361" s="23" t="n">
        <v>553000000</v>
      </c>
      <c r="L361" s="23" t="n">
        <v>7346000000</v>
      </c>
      <c r="M361" s="23" t="n">
        <v>-1368000000</v>
      </c>
      <c r="N361" s="23" t="n">
        <v>5978000000</v>
      </c>
      <c r="O361" s="23" t="n">
        <v>359000000</v>
      </c>
      <c r="P361" s="23" t="n">
        <v>24114000000</v>
      </c>
      <c r="Q361" s="23" t="n">
        <v>10573000000</v>
      </c>
      <c r="R361" s="23" t="n">
        <v>52722000000</v>
      </c>
      <c r="S361" s="4" t="n">
        <v>27.8293333333333</v>
      </c>
    </row>
    <row r="362" customFormat="false" ht="15" hidden="false" customHeight="false" outlineLevel="0" collapsed="false">
      <c r="A362" s="4" t="s">
        <v>381</v>
      </c>
      <c r="B362" s="4" t="n">
        <v>2025</v>
      </c>
      <c r="C362" s="4" t="s">
        <v>305</v>
      </c>
      <c r="D362" s="23" t="n">
        <v>93925000000</v>
      </c>
      <c r="E362" s="23" t="n">
        <v>50859000000</v>
      </c>
      <c r="F362" s="23" t="n">
        <v>13491000000</v>
      </c>
      <c r="G362" s="23" t="n">
        <v>15543000000</v>
      </c>
      <c r="H362" s="23" t="n">
        <v>8240000000</v>
      </c>
      <c r="I362" s="4" t="n">
        <v>6</v>
      </c>
      <c r="J362" s="23" t="n">
        <v>1373000000</v>
      </c>
      <c r="K362" s="23" t="n">
        <v>1121000000</v>
      </c>
      <c r="L362" s="23" t="n">
        <v>12087000000</v>
      </c>
      <c r="M362" s="23" t="n">
        <v>-4415000000</v>
      </c>
      <c r="N362" s="23" t="n">
        <v>7672000000</v>
      </c>
      <c r="O362" s="23" t="n">
        <v>288000000</v>
      </c>
      <c r="P362" s="23" t="n">
        <v>49901000000</v>
      </c>
      <c r="Q362" s="23" t="n">
        <v>9530000000</v>
      </c>
      <c r="R362" s="23" t="n">
        <v>20547000000</v>
      </c>
      <c r="S362" s="4" t="n">
        <v>23.8441127694859</v>
      </c>
    </row>
    <row r="363" customFormat="false" ht="15" hidden="false" customHeight="false" outlineLevel="0" collapsed="false">
      <c r="A363" s="4" t="s">
        <v>381</v>
      </c>
      <c r="B363" s="4" t="n">
        <v>2024</v>
      </c>
      <c r="C363" s="4" t="s">
        <v>572</v>
      </c>
      <c r="D363" s="23" t="n">
        <v>91854000000</v>
      </c>
      <c r="E363" s="23" t="n">
        <v>50110000000</v>
      </c>
      <c r="F363" s="23" t="n">
        <v>12887000000</v>
      </c>
      <c r="G363" s="23" t="n">
        <v>16680000000</v>
      </c>
      <c r="H363" s="23" t="n">
        <v>9578000000</v>
      </c>
      <c r="I363" s="4" t="n">
        <v>6.95</v>
      </c>
      <c r="J363" s="23" t="n">
        <v>1378000000</v>
      </c>
      <c r="K363" s="23" t="n">
        <v>919000000</v>
      </c>
      <c r="L363" s="23" t="n">
        <v>12507000000</v>
      </c>
      <c r="M363" s="23" t="n">
        <v>-5318000000</v>
      </c>
      <c r="N363" s="23" t="n">
        <v>7189000000</v>
      </c>
      <c r="O363" s="23" t="n">
        <v>362000000</v>
      </c>
      <c r="P363" s="23" t="n">
        <v>44948000000</v>
      </c>
      <c r="Q363" s="23" t="n">
        <v>9266000000</v>
      </c>
      <c r="R363" s="23" t="n">
        <v>18171000000</v>
      </c>
      <c r="S363" s="4" t="n">
        <v>21.785100286533</v>
      </c>
    </row>
    <row r="364" customFormat="false" ht="15" hidden="false" customHeight="false" outlineLevel="0" collapsed="false">
      <c r="A364" s="4" t="s">
        <v>381</v>
      </c>
      <c r="B364" s="4" t="n">
        <v>2023</v>
      </c>
      <c r="C364" s="4" t="s">
        <v>573</v>
      </c>
      <c r="D364" s="23" t="n">
        <v>91471000000</v>
      </c>
      <c r="E364" s="23" t="n">
        <v>49590000000</v>
      </c>
      <c r="F364" s="23" t="n">
        <v>11986000000</v>
      </c>
      <c r="G364" s="23" t="n">
        <v>15754000000</v>
      </c>
      <c r="H364" s="23" t="n">
        <v>9074000000</v>
      </c>
      <c r="I364" s="4" t="n">
        <v>6.56</v>
      </c>
      <c r="J364" s="23" t="n">
        <v>1383000000</v>
      </c>
      <c r="K364" s="23" t="n">
        <v>819000000</v>
      </c>
      <c r="L364" s="23" t="n">
        <v>13442000000</v>
      </c>
      <c r="M364" s="23" t="n">
        <v>-5518000000</v>
      </c>
      <c r="N364" s="23" t="n">
        <v>7924000000</v>
      </c>
      <c r="O364" s="23" t="n">
        <v>380000000</v>
      </c>
      <c r="P364" s="23" t="n">
        <v>44661000000</v>
      </c>
      <c r="Q364" s="23" t="n">
        <v>10003000000</v>
      </c>
      <c r="R364" s="23" t="n">
        <v>18637000000</v>
      </c>
      <c r="S364" s="4" t="n">
        <v>25.7723823975721</v>
      </c>
    </row>
    <row r="365" customFormat="false" ht="15" hidden="false" customHeight="false" outlineLevel="0" collapsed="false">
      <c r="A365" s="4" t="s">
        <v>381</v>
      </c>
      <c r="B365" s="4" t="n">
        <v>2022</v>
      </c>
      <c r="C365" s="4" t="s">
        <v>574</v>
      </c>
      <c r="D365" s="23" t="n">
        <v>86392000000</v>
      </c>
      <c r="E365" s="23" t="n">
        <v>45816000000</v>
      </c>
      <c r="F365" s="23" t="n">
        <v>11512000000</v>
      </c>
      <c r="G365" s="23" t="n">
        <v>14924000000</v>
      </c>
      <c r="H365" s="23" t="n">
        <v>8910000000</v>
      </c>
      <c r="I365" s="4" t="n">
        <v>6.42</v>
      </c>
      <c r="J365" s="23" t="n">
        <v>1387000000</v>
      </c>
      <c r="K365" s="23" t="n">
        <v>939000000</v>
      </c>
      <c r="L365" s="23" t="n">
        <v>10811000000</v>
      </c>
      <c r="M365" s="23" t="n">
        <v>-5207000000</v>
      </c>
      <c r="N365" s="23" t="n">
        <v>5604000000</v>
      </c>
      <c r="O365" s="23" t="n">
        <v>343000000</v>
      </c>
      <c r="P365" s="23" t="n">
        <v>39554000000</v>
      </c>
      <c r="Q365" s="23" t="n">
        <v>5348000000</v>
      </c>
      <c r="R365" s="23" t="n">
        <v>17273000000</v>
      </c>
      <c r="S365" s="4" t="n">
        <v>27.9659442724458</v>
      </c>
    </row>
    <row r="366" customFormat="false" ht="15" hidden="false" customHeight="false" outlineLevel="0" collapsed="false">
      <c r="A366" s="4" t="s">
        <v>381</v>
      </c>
      <c r="B366" s="4" t="n">
        <v>2021</v>
      </c>
      <c r="C366" s="4" t="s">
        <v>575</v>
      </c>
      <c r="D366" s="23" t="n">
        <v>79474000000</v>
      </c>
      <c r="E366" s="23" t="n">
        <v>42399000000</v>
      </c>
      <c r="F366" s="23" t="n">
        <v>11162000000</v>
      </c>
      <c r="G366" s="23" t="n">
        <v>14899000000</v>
      </c>
      <c r="H366" s="23" t="n">
        <v>7618000000</v>
      </c>
      <c r="I366" s="4" t="n">
        <v>5.48</v>
      </c>
      <c r="J366" s="23" t="n">
        <v>1389000000</v>
      </c>
      <c r="K366" s="23" t="n">
        <v>1863000000</v>
      </c>
      <c r="L366" s="23" t="n">
        <v>11616000000</v>
      </c>
      <c r="M366" s="23" t="n">
        <v>-4625000000</v>
      </c>
      <c r="N366" s="23" t="n">
        <v>6991000000</v>
      </c>
      <c r="O366" s="23" t="n">
        <v>301000000</v>
      </c>
      <c r="P366" s="23" t="n">
        <v>40780000000</v>
      </c>
      <c r="Q366" s="23" t="n">
        <v>5988000000</v>
      </c>
      <c r="R366" s="23" t="n">
        <v>16151000000</v>
      </c>
      <c r="S366" s="4" t="n">
        <v>31.5263157894737</v>
      </c>
    </row>
    <row r="367" customFormat="false" ht="15" hidden="false" customHeight="false" outlineLevel="0" collapsed="false">
      <c r="A367" s="4" t="s">
        <v>384</v>
      </c>
      <c r="B367" s="4" t="n">
        <v>2026</v>
      </c>
      <c r="C367" s="4" t="s">
        <v>115</v>
      </c>
      <c r="D367" s="23" t="n">
        <v>87032000000</v>
      </c>
      <c r="E367" s="23" t="n">
        <v>43669000000</v>
      </c>
      <c r="F367" s="23" t="n">
        <v>19748000000</v>
      </c>
      <c r="G367" s="23" t="n">
        <v>24414000000</v>
      </c>
      <c r="H367" s="23" t="n">
        <v>16046000000</v>
      </c>
      <c r="I367" s="4" t="n">
        <v>6.62</v>
      </c>
      <c r="J367" s="23" t="n">
        <v>2422500000</v>
      </c>
      <c r="K367" s="23" t="n">
        <v>877000000</v>
      </c>
      <c r="L367" s="23" t="n">
        <v>19556000000</v>
      </c>
      <c r="M367" s="23" t="n">
        <v>-4409000000</v>
      </c>
      <c r="N367" s="23" t="n">
        <v>15147000000</v>
      </c>
      <c r="O367" s="23" t="n">
        <v>524000000</v>
      </c>
      <c r="P367" s="23" t="n">
        <v>35026000000</v>
      </c>
      <c r="Q367" s="23" t="n">
        <v>9942000000</v>
      </c>
      <c r="R367" s="23" t="n">
        <v>54541000000</v>
      </c>
      <c r="S367" s="4" t="n">
        <v>21.7244444444444</v>
      </c>
    </row>
    <row r="368" customFormat="false" ht="15" hidden="false" customHeight="false" outlineLevel="0" collapsed="false">
      <c r="A368" s="4" t="s">
        <v>384</v>
      </c>
      <c r="B368" s="4" t="n">
        <v>2025</v>
      </c>
      <c r="C368" s="4" t="s">
        <v>580</v>
      </c>
      <c r="D368" s="23" t="n">
        <v>84284000000</v>
      </c>
      <c r="E368" s="23" t="n">
        <v>43120000000</v>
      </c>
      <c r="F368" s="23" t="n">
        <v>20451000000</v>
      </c>
      <c r="G368" s="23" t="n">
        <v>23921000000</v>
      </c>
      <c r="H368" s="23" t="n">
        <v>15974000000</v>
      </c>
      <c r="I368" s="4" t="n">
        <v>6.51</v>
      </c>
      <c r="J368" s="23" t="n">
        <v>2454400000</v>
      </c>
      <c r="K368" s="23" t="n">
        <v>907000000</v>
      </c>
      <c r="L368" s="23" t="n">
        <v>17818000000</v>
      </c>
      <c r="M368" s="23" t="n">
        <v>-3773000000</v>
      </c>
      <c r="N368" s="23" t="n">
        <v>14044000000</v>
      </c>
      <c r="O368" s="23" t="n">
        <v>476000000</v>
      </c>
      <c r="P368" s="23" t="n">
        <v>35463000000</v>
      </c>
      <c r="Q368" s="23" t="n">
        <v>9556000000</v>
      </c>
      <c r="R368" s="23" t="n">
        <v>52284000000</v>
      </c>
      <c r="S368" s="4" t="n">
        <v>23.8860569715142</v>
      </c>
    </row>
    <row r="369" customFormat="false" ht="15" hidden="false" customHeight="false" outlineLevel="0" collapsed="false">
      <c r="A369" s="4" t="s">
        <v>384</v>
      </c>
      <c r="B369" s="4" t="n">
        <v>2024</v>
      </c>
      <c r="C369" s="4" t="s">
        <v>581</v>
      </c>
      <c r="D369" s="23" t="n">
        <v>84039000000</v>
      </c>
      <c r="E369" s="23" t="n">
        <v>43191000000</v>
      </c>
      <c r="F369" s="23" t="n">
        <v>18545000000</v>
      </c>
      <c r="G369" s="23" t="n">
        <v>22582000000</v>
      </c>
      <c r="H369" s="23" t="n">
        <v>14879000000</v>
      </c>
      <c r="I369" s="4" t="n">
        <v>6.02</v>
      </c>
      <c r="J369" s="23" t="n">
        <v>2471900000</v>
      </c>
      <c r="K369" s="23" t="n">
        <v>925000000</v>
      </c>
      <c r="L369" s="23" t="n">
        <v>19846000000</v>
      </c>
      <c r="M369" s="23" t="n">
        <v>-3322000000</v>
      </c>
      <c r="N369" s="23" t="n">
        <v>16524000000</v>
      </c>
      <c r="O369" s="23" t="n">
        <v>562000000</v>
      </c>
      <c r="P369" s="23" t="n">
        <v>33369000000</v>
      </c>
      <c r="Q369" s="23" t="n">
        <v>9482000000</v>
      </c>
      <c r="R369" s="23" t="n">
        <v>50558000000</v>
      </c>
      <c r="S369" s="4" t="n">
        <v>26.3300970873786</v>
      </c>
    </row>
    <row r="370" customFormat="false" ht="15" hidden="false" customHeight="false" outlineLevel="0" collapsed="false">
      <c r="A370" s="4" t="s">
        <v>384</v>
      </c>
      <c r="B370" s="4" t="n">
        <v>2023</v>
      </c>
      <c r="C370" s="4" t="s">
        <v>582</v>
      </c>
      <c r="D370" s="23" t="n">
        <v>82006000000</v>
      </c>
      <c r="E370" s="23" t="n">
        <v>39246000000</v>
      </c>
      <c r="F370" s="23" t="n">
        <v>18134000000</v>
      </c>
      <c r="G370" s="23" t="n">
        <v>21771000000</v>
      </c>
      <c r="H370" s="23" t="n">
        <v>14653000000</v>
      </c>
      <c r="I370" s="4" t="n">
        <v>5.9</v>
      </c>
      <c r="J370" s="23" t="n">
        <v>2483900000</v>
      </c>
      <c r="K370" s="23" t="n">
        <v>756000000</v>
      </c>
      <c r="L370" s="23" t="n">
        <v>16848000000</v>
      </c>
      <c r="M370" s="23" t="n">
        <v>-3062000000</v>
      </c>
      <c r="N370" s="23" t="n">
        <v>13786000000</v>
      </c>
      <c r="O370" s="23" t="n">
        <v>545000000</v>
      </c>
      <c r="P370" s="23" t="n">
        <v>35424000000</v>
      </c>
      <c r="Q370" s="23" t="n">
        <v>8246000000</v>
      </c>
      <c r="R370" s="23" t="n">
        <v>47065000000</v>
      </c>
      <c r="S370" s="4" t="n">
        <v>24.998352553542</v>
      </c>
    </row>
    <row r="371" customFormat="false" ht="15" hidden="false" customHeight="false" outlineLevel="0" collapsed="false">
      <c r="A371" s="4" t="s">
        <v>384</v>
      </c>
      <c r="B371" s="4" t="n">
        <v>2022</v>
      </c>
      <c r="C371" s="4" t="s">
        <v>583</v>
      </c>
      <c r="D371" s="23" t="n">
        <v>80187000000</v>
      </c>
      <c r="E371" s="23" t="n">
        <v>38030000000</v>
      </c>
      <c r="F371" s="23" t="n">
        <v>17813000000</v>
      </c>
      <c r="G371" s="23" t="n">
        <v>21241000000</v>
      </c>
      <c r="H371" s="23" t="n">
        <v>14742000000</v>
      </c>
      <c r="I371" s="4" t="n">
        <v>5.81</v>
      </c>
      <c r="J371" s="23" t="n">
        <v>2539100000</v>
      </c>
      <c r="K371" s="23" t="n">
        <v>439000000</v>
      </c>
      <c r="L371" s="23" t="n">
        <v>16723000000</v>
      </c>
      <c r="M371" s="23" t="n">
        <v>-3156000000</v>
      </c>
      <c r="N371" s="23" t="n">
        <v>13567000000</v>
      </c>
      <c r="O371" s="23" t="n">
        <v>528000000</v>
      </c>
      <c r="P371" s="23" t="n">
        <v>32293000000</v>
      </c>
      <c r="Q371" s="23" t="n">
        <v>7214000000</v>
      </c>
      <c r="R371" s="23" t="n">
        <v>46854000000</v>
      </c>
      <c r="S371" s="4" t="n">
        <v>23.965</v>
      </c>
    </row>
    <row r="372" customFormat="false" ht="15" hidden="false" customHeight="false" outlineLevel="0" collapsed="false">
      <c r="A372" s="4" t="s">
        <v>388</v>
      </c>
      <c r="B372" s="4" t="n">
        <v>2025</v>
      </c>
      <c r="C372" s="4" t="s">
        <v>390</v>
      </c>
      <c r="D372" s="23" t="n">
        <v>44284000000</v>
      </c>
      <c r="E372" s="23" t="n">
        <v>24546000000</v>
      </c>
      <c r="F372" s="23" t="n">
        <v>12355000000</v>
      </c>
      <c r="G372" s="23" t="n">
        <v>14929000000</v>
      </c>
      <c r="H372" s="23" t="n">
        <v>5541000000</v>
      </c>
      <c r="I372" s="4" t="n">
        <v>5.01</v>
      </c>
      <c r="J372" s="23" t="n">
        <v>1105000000</v>
      </c>
      <c r="K372" s="23" t="n">
        <v>664000000</v>
      </c>
      <c r="L372" s="23" t="n">
        <v>14012000000</v>
      </c>
      <c r="M372" s="23" t="n">
        <v>-1192000000</v>
      </c>
      <c r="N372" s="23" t="n">
        <v>12820000000</v>
      </c>
      <c r="O372" s="23" t="n">
        <v>2783000000</v>
      </c>
      <c r="P372" s="23" t="n">
        <v>16373000000</v>
      </c>
      <c r="Q372" s="23" t="n">
        <v>12478000000</v>
      </c>
      <c r="R372" s="23" t="n">
        <v>21206000000</v>
      </c>
      <c r="S372" s="4" t="n">
        <v>32.6679841897233</v>
      </c>
    </row>
    <row r="373" customFormat="false" ht="15" hidden="false" customHeight="false" outlineLevel="0" collapsed="false">
      <c r="A373" s="4" t="s">
        <v>388</v>
      </c>
      <c r="B373" s="4" t="n">
        <v>2024</v>
      </c>
      <c r="C373" s="4" t="s">
        <v>610</v>
      </c>
      <c r="D373" s="23" t="n">
        <v>38962000000</v>
      </c>
      <c r="E373" s="23" t="n">
        <v>21902000000</v>
      </c>
      <c r="F373" s="23" t="n">
        <v>10071000000</v>
      </c>
      <c r="G373" s="23" t="n">
        <v>12739000000</v>
      </c>
      <c r="H373" s="23" t="n">
        <v>10142000000</v>
      </c>
      <c r="I373" s="4" t="n">
        <v>8.98</v>
      </c>
      <c r="J373" s="23" t="n">
        <v>1130000000</v>
      </c>
      <c r="K373" s="23" t="n">
        <v>697000000</v>
      </c>
      <c r="L373" s="23" t="n">
        <v>12202000000</v>
      </c>
      <c r="M373" s="23" t="n">
        <v>-1041000000</v>
      </c>
      <c r="N373" s="23" t="n">
        <v>11161000000</v>
      </c>
      <c r="O373" s="23" t="n">
        <v>2648000000</v>
      </c>
      <c r="P373" s="23" t="n">
        <v>15440000000</v>
      </c>
      <c r="Q373" s="23" t="n">
        <v>13300000000</v>
      </c>
      <c r="R373" s="23" t="n">
        <v>26274000000</v>
      </c>
      <c r="S373" s="4" t="n">
        <v>18.7073707370737</v>
      </c>
    </row>
    <row r="374" customFormat="false" ht="15" hidden="false" customHeight="false" outlineLevel="0" collapsed="false">
      <c r="A374" s="4" t="s">
        <v>388</v>
      </c>
      <c r="B374" s="4" t="n">
        <v>2023</v>
      </c>
      <c r="C374" s="4" t="s">
        <v>611</v>
      </c>
      <c r="D374" s="23" t="n">
        <v>35820000000</v>
      </c>
      <c r="E374" s="23" t="n">
        <v>19951000000</v>
      </c>
      <c r="F374" s="23" t="n">
        <v>7788000000</v>
      </c>
      <c r="G374" s="23" t="n">
        <v>9946000000</v>
      </c>
      <c r="H374" s="23" t="n">
        <v>7232000000</v>
      </c>
      <c r="I374" s="4" t="n">
        <v>6.42</v>
      </c>
      <c r="J374" s="23" t="n">
        <v>1126000000</v>
      </c>
      <c r="K374" s="23" t="n">
        <v>694000000</v>
      </c>
      <c r="L374" s="23" t="n">
        <v>11299000000</v>
      </c>
      <c r="M374" s="23" t="n">
        <v>-1450000000</v>
      </c>
      <c r="N374" s="23" t="n">
        <v>9849000000</v>
      </c>
      <c r="O374" s="23" t="n">
        <v>2484000000</v>
      </c>
      <c r="P374" s="23" t="n">
        <v>16067000000</v>
      </c>
      <c r="Q374" s="23" t="n">
        <v>11324000000</v>
      </c>
      <c r="R374" s="23" t="n">
        <v>21581000000</v>
      </c>
      <c r="S374" s="4" t="n">
        <v>17.1653786707883</v>
      </c>
    </row>
    <row r="375" customFormat="false" ht="15" hidden="false" customHeight="false" outlineLevel="0" collapsed="false">
      <c r="A375" s="4" t="s">
        <v>388</v>
      </c>
      <c r="B375" s="4" t="n">
        <v>2022</v>
      </c>
      <c r="C375" s="4" t="s">
        <v>612</v>
      </c>
      <c r="D375" s="23" t="n">
        <v>44200000000</v>
      </c>
      <c r="E375" s="23" t="n">
        <v>25565000000</v>
      </c>
      <c r="F375" s="23" t="n">
        <v>15860000000</v>
      </c>
      <c r="G375" s="23" t="n">
        <v>17250000000</v>
      </c>
      <c r="H375" s="23" t="n">
        <v>12936000000</v>
      </c>
      <c r="I375" s="4" t="n">
        <v>11.38</v>
      </c>
      <c r="J375" s="23" t="n">
        <v>1137000000</v>
      </c>
      <c r="K375" s="23" t="n">
        <v>490000000</v>
      </c>
      <c r="L375" s="23" t="n">
        <v>9096000000</v>
      </c>
      <c r="M375" s="23" t="n">
        <v>-2262000000</v>
      </c>
      <c r="N375" s="23" t="n">
        <v>6834000000</v>
      </c>
      <c r="O375" s="23" t="n">
        <v>2031000000</v>
      </c>
      <c r="P375" s="23" t="n">
        <v>16159000000</v>
      </c>
      <c r="Q375" s="23" t="n">
        <v>6382000000</v>
      </c>
      <c r="R375" s="23" t="n">
        <v>18013000000</v>
      </c>
      <c r="S375" s="4" t="n">
        <v>9.80729166666667</v>
      </c>
    </row>
    <row r="376" customFormat="false" ht="15" hidden="false" customHeight="false" outlineLevel="0" collapsed="false">
      <c r="A376" s="4" t="s">
        <v>388</v>
      </c>
      <c r="B376" s="4" t="n">
        <v>2021</v>
      </c>
      <c r="C376" s="4" t="s">
        <v>613</v>
      </c>
      <c r="D376" s="23" t="n">
        <v>33566000000</v>
      </c>
      <c r="E376" s="23" t="n">
        <v>19304000000</v>
      </c>
      <c r="F376" s="23" t="n">
        <v>9789000000</v>
      </c>
      <c r="G376" s="23" t="n">
        <v>12415000000</v>
      </c>
      <c r="H376" s="23" t="n">
        <v>9043000000</v>
      </c>
      <c r="I376" s="4" t="n">
        <v>7.87</v>
      </c>
      <c r="J376" s="23" t="n">
        <v>1149000000</v>
      </c>
      <c r="K376" s="23" t="n">
        <v>559000000</v>
      </c>
      <c r="L376" s="23" t="n">
        <v>10536000000</v>
      </c>
      <c r="M376" s="23" t="n">
        <v>-1888000000</v>
      </c>
      <c r="N376" s="23" t="n">
        <v>8648000000</v>
      </c>
      <c r="O376" s="23" t="n">
        <v>1663000000</v>
      </c>
      <c r="P376" s="23" t="n">
        <v>16299000000</v>
      </c>
      <c r="Q376" s="23" t="n">
        <v>12414000000</v>
      </c>
      <c r="R376" s="23" t="n">
        <v>9950000000</v>
      </c>
      <c r="S376" s="4" t="n">
        <v>16.1225</v>
      </c>
    </row>
    <row r="377" customFormat="false" ht="15" hidden="false" customHeight="false" outlineLevel="0" collapsed="false">
      <c r="A377" s="4" t="s">
        <v>392</v>
      </c>
      <c r="B377" s="4" t="n">
        <v>2025</v>
      </c>
      <c r="C377" s="4" t="s">
        <v>103</v>
      </c>
      <c r="D377" s="23" t="n">
        <v>88603000000</v>
      </c>
      <c r="E377" s="23" t="n">
        <v>17789000000</v>
      </c>
      <c r="F377" s="23" t="n">
        <v>9300000000</v>
      </c>
      <c r="G377" s="23" t="n">
        <v>14946000000</v>
      </c>
      <c r="H377" s="23" t="n">
        <v>6732000000</v>
      </c>
      <c r="I377" s="4" t="n">
        <v>4.96</v>
      </c>
      <c r="J377" s="23" t="n">
        <v>1356400000</v>
      </c>
      <c r="K377" s="23" t="n">
        <v>1835000000</v>
      </c>
      <c r="L377" s="23" t="n">
        <v>10567000000</v>
      </c>
      <c r="M377" s="23" t="n">
        <v>-2627000000</v>
      </c>
      <c r="N377" s="23" t="n">
        <v>7940000000</v>
      </c>
      <c r="O377" s="23" t="n">
        <v>1092000000</v>
      </c>
      <c r="P377" s="23" t="n">
        <v>39506000000</v>
      </c>
      <c r="Q377" s="23" t="n">
        <v>7435000000</v>
      </c>
      <c r="R377" s="23" t="n">
        <v>67138000000</v>
      </c>
      <c r="S377" s="4" t="n">
        <v>36.5338645418327</v>
      </c>
    </row>
    <row r="378" customFormat="false" ht="15" hidden="false" customHeight="false" outlineLevel="0" collapsed="false">
      <c r="A378" s="4" t="s">
        <v>392</v>
      </c>
      <c r="B378" s="4" t="n">
        <v>2024</v>
      </c>
      <c r="C378" s="4" t="s">
        <v>572</v>
      </c>
      <c r="D378" s="23" t="n">
        <v>80738000000</v>
      </c>
      <c r="E378" s="23" t="n">
        <v>15410000000</v>
      </c>
      <c r="F378" s="23" t="n">
        <v>6538000000</v>
      </c>
      <c r="G378" s="23" t="n">
        <v>12528000000</v>
      </c>
      <c r="H378" s="23" t="n">
        <v>4774000000</v>
      </c>
      <c r="I378" s="4" t="n">
        <v>3.55</v>
      </c>
      <c r="J378" s="23" t="n">
        <v>1343600000</v>
      </c>
      <c r="K378" s="23" t="n">
        <v>1970000000</v>
      </c>
      <c r="L378" s="23" t="n">
        <v>7159000000</v>
      </c>
      <c r="M378" s="23" t="n">
        <v>-2625000000</v>
      </c>
      <c r="N378" s="23" t="n">
        <v>4534000000</v>
      </c>
      <c r="O378" s="23" t="n">
        <v>437000000</v>
      </c>
      <c r="P378" s="23" t="n">
        <v>42893000000</v>
      </c>
      <c r="Q378" s="23" t="n">
        <v>5578000000</v>
      </c>
      <c r="R378" s="23" t="n">
        <v>61958000000</v>
      </c>
      <c r="S378" s="4" t="n">
        <v>32.3240223463687</v>
      </c>
    </row>
    <row r="379" customFormat="false" ht="15" hidden="false" customHeight="false" outlineLevel="0" collapsed="false">
      <c r="A379" s="4" t="s">
        <v>392</v>
      </c>
      <c r="B379" s="4" t="n">
        <v>2023</v>
      </c>
      <c r="C379" s="4" t="s">
        <v>573</v>
      </c>
      <c r="D379" s="23" t="n">
        <v>68920000000</v>
      </c>
      <c r="E379" s="23" t="n">
        <v>12089000000</v>
      </c>
      <c r="F379" s="23" t="n">
        <v>3561000000</v>
      </c>
      <c r="G379" s="23" t="n">
        <v>9700000000</v>
      </c>
      <c r="H379" s="23" t="n">
        <v>3195000000</v>
      </c>
      <c r="I379" s="4" t="n">
        <v>2.23</v>
      </c>
      <c r="J379" s="23" t="n">
        <v>1435400000</v>
      </c>
      <c r="K379" s="23" t="n">
        <v>1653000000</v>
      </c>
      <c r="L379" s="23" t="n">
        <v>7883000000</v>
      </c>
      <c r="M379" s="23" t="n">
        <v>-3166000000</v>
      </c>
      <c r="N379" s="23" t="n">
        <v>4717000000</v>
      </c>
      <c r="O379" s="23" t="n">
        <v>425000000</v>
      </c>
      <c r="P379" s="23" t="n">
        <v>45239000000</v>
      </c>
      <c r="Q379" s="23" t="n">
        <v>6587000000</v>
      </c>
      <c r="R379" s="23" t="n">
        <v>61445000000</v>
      </c>
      <c r="S379" s="4" t="n">
        <v>37.5625</v>
      </c>
    </row>
    <row r="380" customFormat="false" ht="15" hidden="false" customHeight="false" outlineLevel="0" collapsed="false">
      <c r="A380" s="4" t="s">
        <v>392</v>
      </c>
      <c r="B380" s="4" t="n">
        <v>2022</v>
      </c>
      <c r="C380" s="4" t="s">
        <v>574</v>
      </c>
      <c r="D380" s="23" t="n">
        <v>67074000000</v>
      </c>
      <c r="E380" s="23" t="n">
        <v>13668000000</v>
      </c>
      <c r="F380" s="23" t="n">
        <v>5504000000</v>
      </c>
      <c r="G380" s="23" t="n">
        <v>11525000000</v>
      </c>
      <c r="H380" s="23" t="n">
        <v>5197000000</v>
      </c>
      <c r="I380" s="4" t="n">
        <v>3.5</v>
      </c>
      <c r="J380" s="23" t="n">
        <v>1485900000</v>
      </c>
      <c r="K380" s="23" t="n">
        <v>1300000000</v>
      </c>
      <c r="L380" s="23" t="n">
        <v>7168000000</v>
      </c>
      <c r="M380" s="23" t="n">
        <v>-2775000000</v>
      </c>
      <c r="N380" s="23" t="n">
        <v>4393000000</v>
      </c>
      <c r="O380" s="23" t="n">
        <v>420000000</v>
      </c>
      <c r="P380" s="23" t="n">
        <v>33500000000</v>
      </c>
      <c r="Q380" s="23" t="n">
        <v>6220000000</v>
      </c>
      <c r="R380" s="23" t="n">
        <v>74214000000</v>
      </c>
      <c r="S380" s="4" t="n">
        <v>28.6704545454546</v>
      </c>
    </row>
    <row r="381" customFormat="false" ht="15" hidden="false" customHeight="false" outlineLevel="0" collapsed="false">
      <c r="A381" s="4" t="s">
        <v>392</v>
      </c>
      <c r="B381" s="4" t="n">
        <v>2021</v>
      </c>
      <c r="C381" s="4" t="s">
        <v>575</v>
      </c>
      <c r="D381" s="23" t="n">
        <v>64388000000</v>
      </c>
      <c r="E381" s="23" t="n">
        <v>12491000000</v>
      </c>
      <c r="F381" s="23" t="n">
        <v>5136000000</v>
      </c>
      <c r="G381" s="23" t="n">
        <v>10996000000</v>
      </c>
      <c r="H381" s="23" t="n">
        <v>3864000000</v>
      </c>
      <c r="I381" s="4" t="n">
        <v>2.56</v>
      </c>
      <c r="J381" s="23" t="n">
        <v>1508500000</v>
      </c>
      <c r="K381" s="23" t="n">
        <v>1330000000</v>
      </c>
      <c r="L381" s="23" t="n">
        <v>7071000000</v>
      </c>
      <c r="M381" s="23" t="n">
        <v>-2322000000</v>
      </c>
      <c r="N381" s="23" t="n">
        <v>4749000000</v>
      </c>
      <c r="O381" s="23" t="n">
        <v>442000000</v>
      </c>
      <c r="P381" s="23" t="n">
        <v>33142000000</v>
      </c>
      <c r="Q381" s="23" t="n">
        <v>7832000000</v>
      </c>
      <c r="R381" s="23" t="n">
        <v>74699000000</v>
      </c>
      <c r="S381" s="4" t="n">
        <v>33.4863813229572</v>
      </c>
    </row>
    <row r="382" customFormat="false" ht="15" hidden="false" customHeight="false" outlineLevel="0" collapsed="false">
      <c r="A382" s="4" t="s">
        <v>396</v>
      </c>
      <c r="B382" s="4" t="n">
        <v>2025</v>
      </c>
      <c r="C382" s="4" t="s">
        <v>103</v>
      </c>
      <c r="D382" s="23" t="n">
        <v>17682000000</v>
      </c>
      <c r="E382" s="23" t="n">
        <v>10083000000</v>
      </c>
      <c r="F382" s="23" t="n">
        <v>6023000000</v>
      </c>
      <c r="G382" s="23" t="n">
        <v>8252000000</v>
      </c>
      <c r="H382" s="23" t="n">
        <v>5001000000</v>
      </c>
      <c r="I382" s="4" t="n">
        <v>5.45</v>
      </c>
      <c r="J382" s="23" t="n">
        <v>913000000</v>
      </c>
      <c r="K382" s="23" t="n">
        <v>543000000</v>
      </c>
      <c r="L382" s="23" t="n">
        <v>7153000000</v>
      </c>
      <c r="M382" s="23" t="n">
        <v>-4550000000</v>
      </c>
      <c r="N382" s="23" t="n">
        <v>2603000000</v>
      </c>
      <c r="O382" s="23" t="n">
        <v>419000000</v>
      </c>
      <c r="P382" s="23" t="n">
        <v>15391000000</v>
      </c>
      <c r="Q382" s="23" t="n">
        <v>4881000000</v>
      </c>
      <c r="R382" s="23" t="n">
        <v>16273000000</v>
      </c>
      <c r="S382" s="4" t="n">
        <v>31.8330275229358</v>
      </c>
    </row>
    <row r="383" customFormat="false" ht="15" hidden="false" customHeight="false" outlineLevel="0" collapsed="false">
      <c r="A383" s="4" t="s">
        <v>396</v>
      </c>
      <c r="B383" s="4" t="n">
        <v>2024</v>
      </c>
      <c r="C383" s="4" t="s">
        <v>572</v>
      </c>
      <c r="D383" s="23" t="n">
        <v>15641000000</v>
      </c>
      <c r="E383" s="23" t="n">
        <v>9094000000</v>
      </c>
      <c r="F383" s="23" t="n">
        <v>5465000000</v>
      </c>
      <c r="G383" s="23" t="n">
        <v>7541000000</v>
      </c>
      <c r="H383" s="23" t="n">
        <v>4799000000</v>
      </c>
      <c r="I383" s="4" t="n">
        <v>5.2</v>
      </c>
      <c r="J383" s="23" t="n">
        <v>919000000</v>
      </c>
      <c r="K383" s="23" t="n">
        <v>508000000</v>
      </c>
      <c r="L383" s="23" t="n">
        <v>6318000000</v>
      </c>
      <c r="M383" s="23" t="n">
        <v>-4820000000</v>
      </c>
      <c r="N383" s="23" t="n">
        <v>1498000000</v>
      </c>
      <c r="O383" s="23" t="n">
        <v>387000000</v>
      </c>
      <c r="P383" s="23" t="n">
        <v>15040000000</v>
      </c>
      <c r="Q383" s="23" t="n">
        <v>7580000000</v>
      </c>
      <c r="R383" s="23" t="n">
        <v>16903000000</v>
      </c>
      <c r="S383" s="4" t="n">
        <v>35.7843511450382</v>
      </c>
    </row>
    <row r="384" customFormat="false" ht="15" hidden="false" customHeight="false" outlineLevel="0" collapsed="false">
      <c r="A384" s="4" t="s">
        <v>396</v>
      </c>
      <c r="B384" s="4" t="n">
        <v>2023</v>
      </c>
      <c r="C384" s="4" t="s">
        <v>573</v>
      </c>
      <c r="D384" s="23" t="n">
        <v>17519000000</v>
      </c>
      <c r="E384" s="23" t="n">
        <v>11019000000</v>
      </c>
      <c r="F384" s="23" t="n">
        <v>7331000000</v>
      </c>
      <c r="G384" s="23" t="n">
        <v>9009000000</v>
      </c>
      <c r="H384" s="23" t="n">
        <v>6510000000</v>
      </c>
      <c r="I384" s="4" t="n">
        <v>7.07</v>
      </c>
      <c r="J384" s="23" t="n">
        <v>916000000</v>
      </c>
      <c r="K384" s="23" t="n">
        <v>353000000</v>
      </c>
      <c r="L384" s="23" t="n">
        <v>6420000000</v>
      </c>
      <c r="M384" s="23" t="n">
        <v>-5071000000</v>
      </c>
      <c r="N384" s="23" t="n">
        <v>1349000000</v>
      </c>
      <c r="O384" s="23" t="n">
        <v>362000000</v>
      </c>
      <c r="P384" s="23" t="n">
        <v>12267000000</v>
      </c>
      <c r="Q384" s="23" t="n">
        <v>8575000000</v>
      </c>
      <c r="R384" s="23" t="n">
        <v>16897000000</v>
      </c>
      <c r="S384" s="4" t="n">
        <v>23.9074333800842</v>
      </c>
    </row>
    <row r="385" customFormat="false" ht="15" hidden="false" customHeight="false" outlineLevel="0" collapsed="false">
      <c r="A385" s="4" t="s">
        <v>396</v>
      </c>
      <c r="B385" s="4" t="n">
        <v>2022</v>
      </c>
      <c r="C385" s="4" t="s">
        <v>574</v>
      </c>
      <c r="D385" s="23" t="n">
        <v>20028000000</v>
      </c>
      <c r="E385" s="23" t="n">
        <v>13771000000</v>
      </c>
      <c r="F385" s="23" t="n">
        <v>10140000000</v>
      </c>
      <c r="G385" s="23" t="n">
        <v>11225000000</v>
      </c>
      <c r="H385" s="23" t="n">
        <v>8749000000</v>
      </c>
      <c r="I385" s="4" t="n">
        <v>9.41</v>
      </c>
      <c r="J385" s="23" t="n">
        <v>926000000</v>
      </c>
      <c r="K385" s="23" t="n">
        <v>214000000</v>
      </c>
      <c r="L385" s="23" t="n">
        <v>8720000000</v>
      </c>
      <c r="M385" s="23" t="n">
        <v>-2797000000</v>
      </c>
      <c r="N385" s="23" t="n">
        <v>5923000000</v>
      </c>
      <c r="O385" s="23" t="n">
        <v>289000000</v>
      </c>
      <c r="P385" s="23" t="n">
        <v>9498000000</v>
      </c>
      <c r="Q385" s="23" t="n">
        <v>9067000000</v>
      </c>
      <c r="R385" s="23" t="n">
        <v>14577000000</v>
      </c>
      <c r="S385" s="4" t="n">
        <v>17.3732912723449</v>
      </c>
    </row>
    <row r="386" customFormat="false" ht="15" hidden="false" customHeight="false" outlineLevel="0" collapsed="false">
      <c r="A386" s="4" t="s">
        <v>396</v>
      </c>
      <c r="B386" s="4" t="n">
        <v>2021</v>
      </c>
      <c r="C386" s="4" t="s">
        <v>575</v>
      </c>
      <c r="D386" s="23" t="n">
        <v>18344000000</v>
      </c>
      <c r="E386" s="23" t="n">
        <v>12376000000</v>
      </c>
      <c r="F386" s="23" t="n">
        <v>8960000000</v>
      </c>
      <c r="G386" s="23" t="n">
        <v>10057000000</v>
      </c>
      <c r="H386" s="23" t="n">
        <v>7769000000</v>
      </c>
      <c r="I386" s="4" t="n">
        <v>8.27</v>
      </c>
      <c r="J386" s="23" t="n">
        <v>936000000</v>
      </c>
      <c r="K386" s="23" t="n">
        <v>184000000</v>
      </c>
      <c r="L386" s="23" t="n">
        <v>8756000000</v>
      </c>
      <c r="M386" s="23" t="n">
        <v>-2462000000</v>
      </c>
      <c r="N386" s="23" t="n">
        <v>6294000000</v>
      </c>
      <c r="O386" s="23" t="n">
        <v>230000000</v>
      </c>
      <c r="P386" s="23" t="n">
        <v>8206000000</v>
      </c>
      <c r="Q386" s="23" t="n">
        <v>9739000000</v>
      </c>
      <c r="R386" s="23" t="n">
        <v>13333000000</v>
      </c>
      <c r="S386" s="4" t="n">
        <v>22.4904534606205</v>
      </c>
    </row>
    <row r="387" customFormat="false" ht="15" hidden="false" customHeight="false" outlineLevel="0" collapsed="false">
      <c r="A387" s="4" t="s">
        <v>399</v>
      </c>
      <c r="B387" s="4" t="n">
        <v>2025</v>
      </c>
      <c r="C387" s="4" t="s">
        <v>103</v>
      </c>
      <c r="D387" s="23" t="n">
        <v>24510000000</v>
      </c>
      <c r="E387" s="23" t="n">
        <v>14553000000</v>
      </c>
      <c r="F387" s="23" t="n">
        <v>9839000000</v>
      </c>
      <c r="G387" s="23" t="n">
        <v>12940000000</v>
      </c>
      <c r="H387" s="23" t="n">
        <v>7138000000</v>
      </c>
      <c r="I387" s="4" t="n">
        <v>11.97</v>
      </c>
      <c r="J387" s="23" t="n">
        <v>593500000</v>
      </c>
      <c r="K387" s="23" t="n">
        <v>1309000000</v>
      </c>
      <c r="L387" s="23" t="n">
        <v>9290000000</v>
      </c>
      <c r="M387" s="23" t="n">
        <v>-3791000000</v>
      </c>
      <c r="N387" s="23" t="n">
        <v>5499000000</v>
      </c>
      <c r="O387" s="23" t="n">
        <v>0</v>
      </c>
      <c r="P387" s="23" t="n">
        <v>31814000000</v>
      </c>
      <c r="Q387" s="23" t="n">
        <v>1525000000</v>
      </c>
      <c r="R387" s="23" t="n">
        <v>18467000000</v>
      </c>
      <c r="S387" s="4" t="n">
        <v>19.2606161532057</v>
      </c>
    </row>
    <row r="388" customFormat="false" ht="15" hidden="false" customHeight="false" outlineLevel="0" collapsed="false">
      <c r="A388" s="4" t="s">
        <v>399</v>
      </c>
      <c r="B388" s="4" t="n">
        <v>2024</v>
      </c>
      <c r="C388" s="4" t="s">
        <v>572</v>
      </c>
      <c r="D388" s="23" t="n">
        <v>24250000000</v>
      </c>
      <c r="E388" s="23" t="n">
        <v>11039000000</v>
      </c>
      <c r="F388" s="23" t="n">
        <v>9713000000</v>
      </c>
      <c r="G388" s="23" t="n">
        <v>12461000000</v>
      </c>
      <c r="H388" s="23" t="n">
        <v>6747000000</v>
      </c>
      <c r="I388" s="4" t="n">
        <v>11.09</v>
      </c>
      <c r="J388" s="23" t="n">
        <v>608600000</v>
      </c>
      <c r="K388" s="23" t="n">
        <v>1269000000</v>
      </c>
      <c r="L388" s="23" t="n">
        <v>9346000000</v>
      </c>
      <c r="M388" s="23" t="n">
        <v>-3452000000</v>
      </c>
      <c r="N388" s="23" t="n">
        <v>5894000000</v>
      </c>
      <c r="O388" s="23" t="n">
        <v>0</v>
      </c>
      <c r="P388" s="23" t="n">
        <v>32463000000</v>
      </c>
      <c r="Q388" s="23" t="n">
        <v>1036000000</v>
      </c>
      <c r="R388" s="23" t="n">
        <v>16890000000</v>
      </c>
      <c r="S388" s="4" t="n">
        <v>20.5441441441441</v>
      </c>
    </row>
    <row r="389" customFormat="false" ht="15" hidden="false" customHeight="false" outlineLevel="0" collapsed="false">
      <c r="A389" s="4" t="s">
        <v>399</v>
      </c>
      <c r="B389" s="4" t="n">
        <v>2023</v>
      </c>
      <c r="C389" s="4" t="s">
        <v>573</v>
      </c>
      <c r="D389" s="23" t="n">
        <v>24119000000</v>
      </c>
      <c r="E389" s="23" t="n">
        <v>10529000000</v>
      </c>
      <c r="F389" s="23" t="n">
        <v>9082000000</v>
      </c>
      <c r="G389" s="23" t="n">
        <v>11891000000</v>
      </c>
      <c r="H389" s="23" t="n">
        <v>6379000000</v>
      </c>
      <c r="I389" s="4" t="n">
        <v>10.45</v>
      </c>
      <c r="J389" s="23" t="n">
        <v>610200000</v>
      </c>
      <c r="K389" s="23" t="n">
        <v>1340000000</v>
      </c>
      <c r="L389" s="23" t="n">
        <v>8379000000</v>
      </c>
      <c r="M389" s="23" t="n">
        <v>-3606000000</v>
      </c>
      <c r="N389" s="23" t="n">
        <v>4773000000</v>
      </c>
      <c r="O389" s="23" t="n">
        <v>0</v>
      </c>
      <c r="P389" s="23" t="n">
        <v>34179000000</v>
      </c>
      <c r="Q389" s="23" t="n">
        <v>1071000000</v>
      </c>
      <c r="R389" s="23" t="n">
        <v>14788000000</v>
      </c>
      <c r="S389" s="4" t="n">
        <v>23.4594078319007</v>
      </c>
    </row>
    <row r="390" customFormat="false" ht="15" hidden="false" customHeight="false" outlineLevel="0" collapsed="false">
      <c r="A390" s="4" t="s">
        <v>399</v>
      </c>
      <c r="B390" s="4" t="n">
        <v>2022</v>
      </c>
      <c r="C390" s="4" t="s">
        <v>574</v>
      </c>
      <c r="D390" s="23" t="n">
        <v>24875000000</v>
      </c>
      <c r="E390" s="23" t="n">
        <v>11205000000</v>
      </c>
      <c r="F390" s="23" t="n">
        <v>9917000000</v>
      </c>
      <c r="G390" s="23" t="n">
        <v>12589000000</v>
      </c>
      <c r="H390" s="23" t="n">
        <v>6998000000</v>
      </c>
      <c r="I390" s="4" t="n">
        <v>11.21</v>
      </c>
      <c r="J390" s="23" t="n">
        <v>624000000</v>
      </c>
      <c r="K390" s="23" t="n">
        <v>1271000000</v>
      </c>
      <c r="L390" s="23" t="n">
        <v>9362000000</v>
      </c>
      <c r="M390" s="23" t="n">
        <v>-3620000000</v>
      </c>
      <c r="N390" s="23" t="n">
        <v>5742000000</v>
      </c>
      <c r="O390" s="23" t="n">
        <v>99000000</v>
      </c>
      <c r="P390" s="23" t="n">
        <v>34957000000</v>
      </c>
      <c r="Q390" s="23" t="n">
        <v>1019000000</v>
      </c>
      <c r="R390" s="23" t="n">
        <v>12163000000</v>
      </c>
      <c r="S390" s="4" t="n">
        <v>18.4225978647687</v>
      </c>
    </row>
    <row r="391" customFormat="false" ht="15" hidden="false" customHeight="false" outlineLevel="0" collapsed="false">
      <c r="A391" s="4" t="s">
        <v>399</v>
      </c>
      <c r="B391" s="4" t="n">
        <v>2021</v>
      </c>
      <c r="C391" s="4" t="s">
        <v>575</v>
      </c>
      <c r="D391" s="23" t="n">
        <v>21804000000</v>
      </c>
      <c r="E391" s="23" t="n">
        <v>10514000000</v>
      </c>
      <c r="F391" s="23" t="n">
        <v>9338000000</v>
      </c>
      <c r="G391" s="23" t="n">
        <v>11843000000</v>
      </c>
      <c r="H391" s="23" t="n">
        <v>6523000000</v>
      </c>
      <c r="I391" s="4" t="n">
        <v>9.95</v>
      </c>
      <c r="J391" s="23" t="n">
        <v>655400000</v>
      </c>
      <c r="K391" s="23" t="n">
        <v>1157000000</v>
      </c>
      <c r="L391" s="23" t="n">
        <v>9032000000</v>
      </c>
      <c r="M391" s="23" t="n">
        <v>-2936000000</v>
      </c>
      <c r="N391" s="23" t="n">
        <v>6096000000</v>
      </c>
      <c r="O391" s="23" t="n">
        <v>88000000</v>
      </c>
      <c r="P391" s="23" t="n">
        <v>31488000000</v>
      </c>
      <c r="Q391" s="23" t="n">
        <v>1006000000</v>
      </c>
      <c r="R391" s="23" t="n">
        <v>14161000000</v>
      </c>
      <c r="S391" s="4" t="n">
        <v>25.2434869739479</v>
      </c>
    </row>
    <row r="392" customFormat="false" ht="15" hidden="false" customHeight="false" outlineLevel="0" collapsed="false">
      <c r="A392" s="4" t="s">
        <v>403</v>
      </c>
      <c r="B392" s="4" t="n">
        <v>2025</v>
      </c>
      <c r="C392" s="4" t="s">
        <v>103</v>
      </c>
      <c r="D392" s="23" t="n">
        <v>25204000000</v>
      </c>
      <c r="E392" s="23" t="n">
        <v>7329000000</v>
      </c>
      <c r="F392" s="23" t="n">
        <v>4607000000</v>
      </c>
      <c r="G392" s="23" t="n">
        <v>5073000000</v>
      </c>
      <c r="H392" s="23" t="n">
        <v>2708000000</v>
      </c>
      <c r="I392" s="4" t="n">
        <v>6.7</v>
      </c>
      <c r="J392" s="23" t="n">
        <v>404200000</v>
      </c>
      <c r="K392" s="23" t="n">
        <v>912000000</v>
      </c>
      <c r="L392" s="23" t="n">
        <v>6043000000</v>
      </c>
      <c r="M392" s="23" t="n">
        <v>-3227000000</v>
      </c>
      <c r="N392" s="23" t="n">
        <v>2816000000</v>
      </c>
      <c r="O392" s="23" t="n">
        <v>0</v>
      </c>
      <c r="P392" s="23" t="n">
        <v>22907000000</v>
      </c>
      <c r="Q392" s="23" t="n">
        <v>201000000</v>
      </c>
      <c r="R392" s="23" t="n">
        <v>9991000000</v>
      </c>
      <c r="S392" s="4" t="n">
        <v>32.6949404761905</v>
      </c>
    </row>
    <row r="393" customFormat="false" ht="15" hidden="false" customHeight="false" outlineLevel="0" collapsed="false">
      <c r="A393" s="4" t="s">
        <v>403</v>
      </c>
      <c r="B393" s="4" t="n">
        <v>2024</v>
      </c>
      <c r="C393" s="4" t="s">
        <v>572</v>
      </c>
      <c r="D393" s="23" t="n">
        <v>22063000000</v>
      </c>
      <c r="E393" s="23" t="n">
        <v>6413000000</v>
      </c>
      <c r="F393" s="23" t="n">
        <v>4149000000</v>
      </c>
      <c r="G393" s="23" t="n">
        <v>6456000000</v>
      </c>
      <c r="H393" s="23" t="n">
        <v>2746000000</v>
      </c>
      <c r="I393" s="4" t="n">
        <v>6.81</v>
      </c>
      <c r="J393" s="23" t="n">
        <v>403400000</v>
      </c>
      <c r="K393" s="23" t="n">
        <v>598000000</v>
      </c>
      <c r="L393" s="23" t="n">
        <v>5390000000</v>
      </c>
      <c r="M393" s="23" t="n">
        <v>-3231000000</v>
      </c>
      <c r="N393" s="23" t="n">
        <v>2159000000</v>
      </c>
      <c r="O393" s="23" t="n">
        <v>118000000</v>
      </c>
      <c r="P393" s="23" t="n">
        <v>23900000000</v>
      </c>
      <c r="Q393" s="23" t="n">
        <v>414000000</v>
      </c>
      <c r="R393" s="23" t="n">
        <v>8254000000</v>
      </c>
      <c r="S393" s="4" t="n">
        <v>29.5014619883041</v>
      </c>
    </row>
    <row r="394" customFormat="false" ht="15" hidden="false" customHeight="false" outlineLevel="0" collapsed="false">
      <c r="A394" s="4" t="s">
        <v>403</v>
      </c>
      <c r="B394" s="4" t="n">
        <v>2023</v>
      </c>
      <c r="C394" s="4" t="s">
        <v>573</v>
      </c>
      <c r="D394" s="23" t="n">
        <v>20426000000</v>
      </c>
      <c r="E394" s="23" t="n">
        <v>5749000000</v>
      </c>
      <c r="F394" s="23" t="n">
        <v>3823000000</v>
      </c>
      <c r="G394" s="23" t="n">
        <v>5722000000</v>
      </c>
      <c r="H394" s="23" t="n">
        <v>2304000000</v>
      </c>
      <c r="I394" s="4" t="n">
        <v>5.66</v>
      </c>
      <c r="J394" s="23" t="n">
        <v>406900000</v>
      </c>
      <c r="K394" s="23" t="n">
        <v>500000000</v>
      </c>
      <c r="L394" s="23" t="n">
        <v>4719000000</v>
      </c>
      <c r="M394" s="23" t="n">
        <v>-2895000000</v>
      </c>
      <c r="N394" s="23" t="n">
        <v>1824000000</v>
      </c>
      <c r="O394" s="23" t="n">
        <v>93000000</v>
      </c>
      <c r="P394" s="23" t="n">
        <v>16229000000</v>
      </c>
      <c r="Q394" s="23" t="n">
        <v>458000000</v>
      </c>
      <c r="R394" s="23" t="n">
        <v>6896000000</v>
      </c>
      <c r="S394" s="4" t="n">
        <v>31.4762741652021</v>
      </c>
    </row>
    <row r="395" customFormat="false" ht="15" hidden="false" customHeight="false" outlineLevel="0" collapsed="false">
      <c r="A395" s="4" t="s">
        <v>403</v>
      </c>
      <c r="B395" s="4" t="n">
        <v>2022</v>
      </c>
      <c r="C395" s="4" t="s">
        <v>574</v>
      </c>
      <c r="D395" s="23" t="n">
        <v>19698000000</v>
      </c>
      <c r="E395" s="23" t="n">
        <v>5366000000</v>
      </c>
      <c r="F395" s="23" t="n">
        <v>3438000000</v>
      </c>
      <c r="G395" s="23" t="n">
        <v>5446000000</v>
      </c>
      <c r="H395" s="23" t="n">
        <v>2238000000</v>
      </c>
      <c r="I395" s="4" t="n">
        <v>5.39</v>
      </c>
      <c r="J395" s="23" t="n">
        <v>415000000</v>
      </c>
      <c r="K395" s="23" t="n">
        <v>378000000</v>
      </c>
      <c r="L395" s="23" t="n">
        <v>4536000000</v>
      </c>
      <c r="M395" s="23" t="n">
        <v>-2587000000</v>
      </c>
      <c r="N395" s="23" t="n">
        <v>1949000000</v>
      </c>
      <c r="O395" s="23" t="n">
        <v>84000000</v>
      </c>
      <c r="P395" s="23" t="n">
        <v>14984000000</v>
      </c>
      <c r="Q395" s="23" t="n">
        <v>351000000</v>
      </c>
      <c r="R395" s="23" t="n">
        <v>6864000000</v>
      </c>
      <c r="S395" s="4" t="n">
        <v>28.9446494464945</v>
      </c>
    </row>
    <row r="396" customFormat="false" ht="15" hidden="false" customHeight="false" outlineLevel="0" collapsed="false">
      <c r="A396" s="4" t="s">
        <v>403</v>
      </c>
      <c r="B396" s="4" t="n">
        <v>2021</v>
      </c>
      <c r="C396" s="4" t="s">
        <v>575</v>
      </c>
      <c r="D396" s="23" t="n">
        <v>17931000000</v>
      </c>
      <c r="E396" s="23" t="n">
        <v>4821000000</v>
      </c>
      <c r="F396" s="23" t="n">
        <v>3008000000</v>
      </c>
      <c r="G396" s="23" t="n">
        <v>4824000000</v>
      </c>
      <c r="H396" s="23" t="n">
        <v>1816000000</v>
      </c>
      <c r="I396" s="4" t="n">
        <v>4.29</v>
      </c>
      <c r="J396" s="23" t="n">
        <v>422900000</v>
      </c>
      <c r="K396" s="23" t="n">
        <v>365000000</v>
      </c>
      <c r="L396" s="23" t="n">
        <v>4338000000</v>
      </c>
      <c r="M396" s="23" t="n">
        <v>-1904000000</v>
      </c>
      <c r="N396" s="23" t="n">
        <v>2434000000</v>
      </c>
      <c r="O396" s="23" t="n">
        <v>108000000</v>
      </c>
      <c r="P396" s="23" t="n">
        <v>13405000000</v>
      </c>
      <c r="Q396" s="23" t="n">
        <v>118000000</v>
      </c>
      <c r="R396" s="23" t="n">
        <v>7126000000</v>
      </c>
      <c r="S396" s="4" t="n">
        <v>38.6342592592593</v>
      </c>
    </row>
    <row r="397" customFormat="false" ht="15" hidden="false" customHeight="false" outlineLevel="0" collapsed="false">
      <c r="A397" s="4" t="s">
        <v>407</v>
      </c>
      <c r="B397" s="4" t="n">
        <v>2026</v>
      </c>
      <c r="C397" s="4" t="s">
        <v>165</v>
      </c>
      <c r="D397" s="23" t="n">
        <v>713163000000</v>
      </c>
      <c r="E397" s="23" t="n">
        <v>177768000000</v>
      </c>
      <c r="F397" s="23" t="n">
        <v>29825000000</v>
      </c>
      <c r="G397" s="23" t="n">
        <v>46471000000</v>
      </c>
      <c r="H397" s="23" t="n">
        <v>21893000000</v>
      </c>
      <c r="I397" s="4" t="n">
        <v>2.73</v>
      </c>
      <c r="J397" s="23" t="n">
        <v>8022000000</v>
      </c>
      <c r="K397" s="23" t="n">
        <v>2799000000</v>
      </c>
      <c r="L397" s="23" t="n">
        <v>41565000000</v>
      </c>
      <c r="M397" s="23" t="n">
        <v>-26642000000</v>
      </c>
      <c r="N397" s="23" t="n">
        <v>14923000000</v>
      </c>
      <c r="O397" s="23" t="n">
        <v>0</v>
      </c>
      <c r="P397" s="23" t="n">
        <v>67095000000</v>
      </c>
      <c r="Q397" s="23" t="n">
        <v>10727000000</v>
      </c>
      <c r="R397" s="23" t="n">
        <v>106180000000</v>
      </c>
      <c r="S397" s="4" t="n">
        <v>43.4817518248175</v>
      </c>
    </row>
    <row r="398" customFormat="false" ht="15" hidden="false" customHeight="false" outlineLevel="0" collapsed="false">
      <c r="A398" s="4" t="s">
        <v>407</v>
      </c>
      <c r="B398" s="4" t="n">
        <v>2025</v>
      </c>
      <c r="C398" s="4" t="s">
        <v>584</v>
      </c>
      <c r="D398" s="23" t="n">
        <v>680985000000</v>
      </c>
      <c r="E398" s="23" t="n">
        <v>169232000000</v>
      </c>
      <c r="F398" s="23" t="n">
        <v>29348000000</v>
      </c>
      <c r="G398" s="23" t="n">
        <v>42010000000</v>
      </c>
      <c r="H398" s="23" t="n">
        <v>19436000000</v>
      </c>
      <c r="I398" s="4" t="n">
        <v>2.41</v>
      </c>
      <c r="J398" s="23" t="n">
        <v>8081000000</v>
      </c>
      <c r="K398" s="23" t="n">
        <v>2728000000</v>
      </c>
      <c r="L398" s="23" t="n">
        <v>36443000000</v>
      </c>
      <c r="M398" s="23" t="n">
        <v>-23783000000</v>
      </c>
      <c r="N398" s="23" t="n">
        <v>12660000000</v>
      </c>
      <c r="O398" s="23" t="n">
        <v>0</v>
      </c>
      <c r="P398" s="23" t="n">
        <v>60114000000</v>
      </c>
      <c r="Q398" s="23" t="n">
        <v>9037000000</v>
      </c>
      <c r="R398" s="23" t="n">
        <v>97692000000</v>
      </c>
      <c r="S398" s="4" t="n">
        <v>40.5619834710744</v>
      </c>
    </row>
    <row r="399" customFormat="false" ht="15" hidden="false" customHeight="false" outlineLevel="0" collapsed="false">
      <c r="A399" s="4" t="s">
        <v>407</v>
      </c>
      <c r="B399" s="4" t="n">
        <v>2024</v>
      </c>
      <c r="C399" s="4" t="s">
        <v>585</v>
      </c>
      <c r="D399" s="23" t="n">
        <v>648125000000</v>
      </c>
      <c r="E399" s="23" t="n">
        <v>157983000000</v>
      </c>
      <c r="F399" s="23" t="n">
        <v>27012000000</v>
      </c>
      <c r="G399" s="23" t="n">
        <v>36384000000</v>
      </c>
      <c r="H399" s="23" t="n">
        <v>15511000000</v>
      </c>
      <c r="I399" s="4" t="n">
        <v>1.91</v>
      </c>
      <c r="J399" s="23" t="n">
        <v>8109000000</v>
      </c>
      <c r="K399" s="23" t="n">
        <v>2683000000</v>
      </c>
      <c r="L399" s="23" t="n">
        <v>35726000000</v>
      </c>
      <c r="M399" s="23" t="n">
        <v>-20606000000</v>
      </c>
      <c r="N399" s="23" t="n">
        <v>15120000000</v>
      </c>
      <c r="O399" s="23" t="n">
        <v>0</v>
      </c>
      <c r="P399" s="23" t="n">
        <v>61321000000</v>
      </c>
      <c r="Q399" s="23" t="n">
        <v>9867000000</v>
      </c>
      <c r="R399" s="23" t="n">
        <v>90571000000</v>
      </c>
      <c r="S399" s="4" t="n">
        <v>28.6875</v>
      </c>
    </row>
    <row r="400" customFormat="false" ht="15" hidden="false" customHeight="false" outlineLevel="0" collapsed="false">
      <c r="A400" s="4" t="s">
        <v>407</v>
      </c>
      <c r="B400" s="4" t="n">
        <v>2023</v>
      </c>
      <c r="C400" s="4" t="s">
        <v>586</v>
      </c>
      <c r="D400" s="23" t="n">
        <v>611289000000</v>
      </c>
      <c r="E400" s="23" t="n">
        <v>147568000000</v>
      </c>
      <c r="F400" s="23" t="n">
        <v>20428000000</v>
      </c>
      <c r="G400" s="23" t="n">
        <v>30089000000</v>
      </c>
      <c r="H400" s="23" t="n">
        <v>11680000000</v>
      </c>
      <c r="I400" s="4" t="n">
        <v>1.42</v>
      </c>
      <c r="J400" s="23" t="n">
        <v>8202000000</v>
      </c>
      <c r="K400" s="23" t="n">
        <v>2128000000</v>
      </c>
      <c r="L400" s="23" t="n">
        <v>28841000000</v>
      </c>
      <c r="M400" s="23" t="n">
        <v>-16857000000</v>
      </c>
      <c r="N400" s="23" t="n">
        <v>11984000000</v>
      </c>
      <c r="O400" s="23" t="n">
        <v>0</v>
      </c>
      <c r="P400" s="23" t="n">
        <v>58923000000</v>
      </c>
      <c r="Q400" s="23" t="n">
        <v>8625000000</v>
      </c>
      <c r="R400" s="23" t="n">
        <v>83991000000</v>
      </c>
      <c r="S400" s="4" t="n">
        <v>33.5384615384615</v>
      </c>
    </row>
    <row r="401" customFormat="false" ht="15" hidden="false" customHeight="false" outlineLevel="0" collapsed="false">
      <c r="A401" s="4" t="s">
        <v>407</v>
      </c>
      <c r="B401" s="4" t="n">
        <v>2022</v>
      </c>
      <c r="C401" s="4" t="s">
        <v>587</v>
      </c>
      <c r="D401" s="23" t="n">
        <v>572754000000</v>
      </c>
      <c r="E401" s="23" t="n">
        <v>143754000000</v>
      </c>
      <c r="F401" s="23" t="n">
        <v>25942000000</v>
      </c>
      <c r="G401" s="23" t="n">
        <v>31348000000</v>
      </c>
      <c r="H401" s="23" t="n">
        <v>13673000000</v>
      </c>
      <c r="I401" s="4" t="n">
        <v>1.62</v>
      </c>
      <c r="J401" s="23" t="n">
        <v>8415000000</v>
      </c>
      <c r="K401" s="23" t="n">
        <v>1994000000</v>
      </c>
      <c r="L401" s="23" t="n">
        <v>24181000000</v>
      </c>
      <c r="M401" s="23" t="n">
        <v>-13106000000</v>
      </c>
      <c r="N401" s="23" t="n">
        <v>11075000000</v>
      </c>
      <c r="O401" s="23" t="n">
        <v>0</v>
      </c>
      <c r="P401" s="23" t="n">
        <v>57323000000</v>
      </c>
      <c r="Q401" s="23" t="n">
        <v>14760000000</v>
      </c>
      <c r="R401" s="23" t="n">
        <v>91891000000</v>
      </c>
      <c r="S401" s="4" t="n">
        <v>28.5889570552147</v>
      </c>
    </row>
    <row r="402" customFormat="false" ht="15" hidden="false" customHeight="false" outlineLevel="0" collapsed="false">
      <c r="A402" s="4" t="s">
        <v>411</v>
      </c>
      <c r="B402" s="4" t="n">
        <v>2025</v>
      </c>
      <c r="C402" s="4" t="s">
        <v>103</v>
      </c>
      <c r="D402" s="23" t="n">
        <v>61160000000</v>
      </c>
      <c r="E402" s="23" t="n">
        <v>42956000000</v>
      </c>
      <c r="F402" s="23" t="n">
        <v>20091000000</v>
      </c>
      <c r="G402" s="23" t="n">
        <v>17629000000</v>
      </c>
      <c r="H402" s="23" t="n">
        <v>4226000000</v>
      </c>
      <c r="I402" s="4" t="n">
        <v>2.37</v>
      </c>
      <c r="J402" s="23" t="n">
        <v>1774000000</v>
      </c>
      <c r="K402" s="23" t="n">
        <v>2893000000</v>
      </c>
      <c r="L402" s="23" t="n">
        <v>19030000000</v>
      </c>
      <c r="M402" s="23" t="n">
        <v>-1214000000</v>
      </c>
      <c r="N402" s="23" t="n">
        <v>17816000000</v>
      </c>
      <c r="O402" s="23" t="n">
        <v>955000000</v>
      </c>
      <c r="P402" s="23" t="n">
        <v>69068000000</v>
      </c>
      <c r="Q402" s="23" t="n">
        <v>5257000000</v>
      </c>
      <c r="R402" s="23" t="n">
        <v>-3228000000</v>
      </c>
      <c r="S402" s="4" t="n">
        <v>96.4092827004219</v>
      </c>
    </row>
    <row r="403" customFormat="false" ht="15" hidden="false" customHeight="false" outlineLevel="0" collapsed="false">
      <c r="A403" s="4" t="s">
        <v>411</v>
      </c>
      <c r="B403" s="4" t="n">
        <v>2024</v>
      </c>
      <c r="C403" s="4" t="s">
        <v>572</v>
      </c>
      <c r="D403" s="23" t="n">
        <v>56334000000</v>
      </c>
      <c r="E403" s="23" t="n">
        <v>39430000000</v>
      </c>
      <c r="F403" s="23" t="n">
        <v>9137000000</v>
      </c>
      <c r="G403" s="23" t="n">
        <v>14910000000</v>
      </c>
      <c r="H403" s="23" t="n">
        <v>4278000000</v>
      </c>
      <c r="I403" s="4" t="n">
        <v>2.39</v>
      </c>
      <c r="J403" s="23" t="n">
        <v>1773000000</v>
      </c>
      <c r="K403" s="23" t="n">
        <v>2808000000</v>
      </c>
      <c r="L403" s="23" t="n">
        <v>18806000000</v>
      </c>
      <c r="M403" s="23" t="n">
        <v>-974000000</v>
      </c>
      <c r="N403" s="23" t="n">
        <v>17832000000</v>
      </c>
      <c r="O403" s="23" t="n">
        <v>911000000</v>
      </c>
      <c r="P403" s="23" t="n">
        <v>67841000000</v>
      </c>
      <c r="Q403" s="23" t="n">
        <v>5555000000</v>
      </c>
      <c r="R403" s="23" t="n">
        <v>3364000000</v>
      </c>
      <c r="S403" s="4" t="n">
        <v>74.0416666666667</v>
      </c>
    </row>
    <row r="404" customFormat="false" ht="15" hidden="false" customHeight="false" outlineLevel="0" collapsed="false">
      <c r="A404" s="4" t="s">
        <v>411</v>
      </c>
      <c r="B404" s="4" t="n">
        <v>2023</v>
      </c>
      <c r="C404" s="4" t="s">
        <v>573</v>
      </c>
      <c r="D404" s="23" t="n">
        <v>54318000000</v>
      </c>
      <c r="E404" s="23" t="n">
        <v>33903000000</v>
      </c>
      <c r="F404" s="23" t="n">
        <v>12757000000</v>
      </c>
      <c r="G404" s="23" t="n">
        <v>17172000000</v>
      </c>
      <c r="H404" s="23" t="n">
        <v>4863000000</v>
      </c>
      <c r="I404" s="4" t="n">
        <v>2.72</v>
      </c>
      <c r="J404" s="23" t="n">
        <v>1773000000</v>
      </c>
      <c r="K404" s="23" t="n">
        <v>2224000000</v>
      </c>
      <c r="L404" s="23" t="n">
        <v>22839000000</v>
      </c>
      <c r="M404" s="23" t="n">
        <v>-777000000</v>
      </c>
      <c r="N404" s="23" t="n">
        <v>22062000000</v>
      </c>
      <c r="O404" s="23" t="n">
        <v>747000000</v>
      </c>
      <c r="P404" s="23" t="n">
        <v>60120000000</v>
      </c>
      <c r="Q404" s="23" t="n">
        <v>12816000000</v>
      </c>
      <c r="R404" s="23" t="n">
        <v>10397000000</v>
      </c>
      <c r="S404" s="4" t="n">
        <v>56.7655677655678</v>
      </c>
    </row>
    <row r="405" customFormat="false" ht="15" hidden="false" customHeight="false" outlineLevel="0" collapsed="false">
      <c r="A405" s="4" t="s">
        <v>411</v>
      </c>
      <c r="B405" s="4" t="n">
        <v>2022</v>
      </c>
      <c r="C405" s="4" t="s">
        <v>574</v>
      </c>
      <c r="D405" s="23" t="n">
        <v>58054000000</v>
      </c>
      <c r="E405" s="23" t="n">
        <v>40640000000</v>
      </c>
      <c r="F405" s="23" t="n">
        <v>18117000000</v>
      </c>
      <c r="G405" s="23" t="n">
        <v>24174000000</v>
      </c>
      <c r="H405" s="23" t="n">
        <v>11836000000</v>
      </c>
      <c r="I405" s="4" t="n">
        <v>6.63</v>
      </c>
      <c r="J405" s="23" t="n">
        <v>1778000000</v>
      </c>
      <c r="K405" s="23" t="n">
        <v>2230000000</v>
      </c>
      <c r="L405" s="23" t="n">
        <v>24943000000</v>
      </c>
      <c r="M405" s="23" t="n">
        <v>-695000000</v>
      </c>
      <c r="N405" s="23" t="n">
        <v>24248000000</v>
      </c>
      <c r="O405" s="23" t="n">
        <v>671000000</v>
      </c>
      <c r="P405" s="23" t="n">
        <v>64191000000</v>
      </c>
      <c r="Q405" s="23" t="n">
        <v>9229000000</v>
      </c>
      <c r="R405" s="23" t="n">
        <v>17287000000</v>
      </c>
      <c r="S405" s="4" t="n">
        <v>24.3022556390977</v>
      </c>
    </row>
    <row r="406" customFormat="false" ht="15" hidden="false" customHeight="false" outlineLevel="0" collapsed="false">
      <c r="A406" s="4" t="s">
        <v>411</v>
      </c>
      <c r="B406" s="4" t="n">
        <v>2021</v>
      </c>
      <c r="C406" s="4" t="s">
        <v>575</v>
      </c>
      <c r="D406" s="23" t="n">
        <v>56197000000</v>
      </c>
      <c r="E406" s="23" t="n">
        <v>38751000000</v>
      </c>
      <c r="F406" s="23" t="n">
        <v>17924000000</v>
      </c>
      <c r="G406" s="23" t="n">
        <v>23933000000</v>
      </c>
      <c r="H406" s="23" t="n">
        <v>11542000000</v>
      </c>
      <c r="I406" s="4" t="n">
        <v>6.45</v>
      </c>
      <c r="J406" s="23" t="n">
        <v>1777000000</v>
      </c>
      <c r="K406" s="23" t="n">
        <v>2423000000</v>
      </c>
      <c r="L406" s="23" t="n">
        <v>22777000000</v>
      </c>
      <c r="M406" s="23" t="n">
        <v>-787000000</v>
      </c>
      <c r="N406" s="23" t="n">
        <v>21990000000</v>
      </c>
      <c r="O406" s="23" t="n">
        <v>692000000</v>
      </c>
      <c r="P406" s="23" t="n">
        <v>77575000000</v>
      </c>
      <c r="Q406" s="23" t="n">
        <v>9830000000</v>
      </c>
      <c r="R406" s="23" t="n">
        <v>15436000000</v>
      </c>
      <c r="S406" s="4" t="n">
        <v>20.8950617283951</v>
      </c>
    </row>
    <row r="407" customFormat="false" ht="15" hidden="false" customHeight="false" outlineLevel="0" collapsed="false">
      <c r="A407" s="4" t="s">
        <v>414</v>
      </c>
      <c r="B407" s="4" t="n">
        <v>2025</v>
      </c>
      <c r="C407" s="4" t="s">
        <v>416</v>
      </c>
      <c r="D407" s="23" t="n">
        <v>11019707000</v>
      </c>
      <c r="E407" s="23" t="n">
        <v>6773478000</v>
      </c>
      <c r="F407" s="23" t="n">
        <v>2932496000</v>
      </c>
      <c r="G407" s="23" t="n">
        <v>5028673000</v>
      </c>
      <c r="H407" s="23" t="n">
        <v>2267342000</v>
      </c>
      <c r="I407" s="4" t="n">
        <v>4.56</v>
      </c>
      <c r="J407" s="23" t="n">
        <v>496709000</v>
      </c>
      <c r="K407" s="23" t="n">
        <v>317716000</v>
      </c>
      <c r="L407" s="23" t="n">
        <v>4812202000</v>
      </c>
      <c r="M407" s="23" t="n">
        <v>-533552000</v>
      </c>
      <c r="N407" s="23" t="n">
        <v>4278650000</v>
      </c>
      <c r="O407" s="23" t="n">
        <v>321560000</v>
      </c>
      <c r="P407" s="23" t="n">
        <v>8664610000</v>
      </c>
      <c r="Q407" s="23" t="n">
        <v>3652321000</v>
      </c>
      <c r="R407" s="23" t="n">
        <v>33815755000</v>
      </c>
      <c r="S407" s="4" t="n">
        <v>51.0087145969499</v>
      </c>
    </row>
    <row r="408" customFormat="false" ht="15" hidden="false" customHeight="false" outlineLevel="0" collapsed="false">
      <c r="A408" s="4" t="s">
        <v>414</v>
      </c>
      <c r="B408" s="4" t="n">
        <v>2024</v>
      </c>
      <c r="C408" s="4" t="s">
        <v>642</v>
      </c>
      <c r="D408" s="23" t="n">
        <v>9427157000</v>
      </c>
      <c r="E408" s="23" t="n">
        <v>5381343000</v>
      </c>
      <c r="F408" s="23" t="n">
        <v>2032798000</v>
      </c>
      <c r="G408" s="23" t="n">
        <v>4203883000</v>
      </c>
      <c r="H408" s="23" t="n">
        <v>1635273000</v>
      </c>
      <c r="I408" s="4" t="n">
        <v>3.28</v>
      </c>
      <c r="J408" s="23" t="n">
        <v>498697000</v>
      </c>
      <c r="K408" s="23" t="n">
        <v>322227000</v>
      </c>
      <c r="L408" s="23" t="n">
        <v>3852529000</v>
      </c>
      <c r="M408" s="23" t="n">
        <v>-730463000</v>
      </c>
      <c r="N408" s="23" t="n">
        <v>3122066000</v>
      </c>
      <c r="O408" s="23" t="n">
        <v>262710000</v>
      </c>
      <c r="P408" s="23" t="n">
        <v>7649817000</v>
      </c>
      <c r="Q408" s="23" t="n">
        <v>2363164000</v>
      </c>
      <c r="R408" s="23" t="n">
        <v>35176317000</v>
      </c>
      <c r="S408" s="4" t="n">
        <v>68.3272727272727</v>
      </c>
    </row>
    <row r="409" customFormat="false" ht="15" hidden="false" customHeight="false" outlineLevel="0" collapsed="false">
      <c r="A409" s="4" t="s">
        <v>414</v>
      </c>
      <c r="B409" s="4" t="n">
        <v>2023</v>
      </c>
      <c r="C409" s="4" t="s">
        <v>643</v>
      </c>
      <c r="D409" s="23" t="n">
        <v>12305539000</v>
      </c>
      <c r="E409" s="23" t="n">
        <v>7877218000</v>
      </c>
      <c r="F409" s="23" t="n">
        <v>3823112000</v>
      </c>
      <c r="G409" s="23" t="n">
        <v>6165747000</v>
      </c>
      <c r="H409" s="23" t="n">
        <v>3314579000</v>
      </c>
      <c r="I409" s="4" t="n">
        <v>6.55</v>
      </c>
      <c r="J409" s="23" t="n">
        <v>505959000</v>
      </c>
      <c r="K409" s="23" t="n">
        <v>264641000</v>
      </c>
      <c r="L409" s="23" t="n">
        <v>4817634000</v>
      </c>
      <c r="M409" s="23" t="n">
        <v>-1261463000</v>
      </c>
      <c r="N409" s="23" t="n">
        <v>3556171000</v>
      </c>
      <c r="O409" s="23" t="n">
        <v>299823000</v>
      </c>
      <c r="P409" s="23" t="n">
        <v>7013478000</v>
      </c>
      <c r="Q409" s="23" t="n">
        <v>958061000</v>
      </c>
      <c r="R409" s="23" t="n">
        <v>35565122000</v>
      </c>
      <c r="S409" s="4" t="n">
        <v>24.3287878787879</v>
      </c>
    </row>
    <row r="410" customFormat="false" ht="15" hidden="false" customHeight="false" outlineLevel="0" collapsed="false">
      <c r="A410" s="4" t="s">
        <v>414</v>
      </c>
      <c r="B410" s="4" t="n">
        <v>2022</v>
      </c>
      <c r="C410" s="4" t="s">
        <v>644</v>
      </c>
      <c r="D410" s="23" t="n">
        <v>12013953000</v>
      </c>
      <c r="E410" s="23" t="n">
        <v>7803870000</v>
      </c>
      <c r="F410" s="23" t="n">
        <v>3278700000</v>
      </c>
      <c r="G410" s="23" t="n">
        <v>5596656000</v>
      </c>
      <c r="H410" s="23" t="n">
        <v>2748561000</v>
      </c>
      <c r="I410" s="4" t="n">
        <v>5.25</v>
      </c>
      <c r="J410" s="23" t="n">
        <v>523178000</v>
      </c>
      <c r="K410" s="23" t="n">
        <v>200408000</v>
      </c>
      <c r="L410" s="23" t="n">
        <v>4475402000</v>
      </c>
      <c r="M410" s="23" t="n">
        <v>-699308000</v>
      </c>
      <c r="N410" s="23" t="n">
        <v>3776094000</v>
      </c>
      <c r="O410" s="23" t="n">
        <v>323487000</v>
      </c>
      <c r="P410" s="23" t="n">
        <v>6602253000</v>
      </c>
      <c r="Q410" s="23" t="n">
        <v>1470572000</v>
      </c>
      <c r="R410" s="23" t="n">
        <v>36465323000</v>
      </c>
      <c r="S410" s="4" t="n">
        <v>27.3875236294896</v>
      </c>
    </row>
    <row r="411" customFormat="false" ht="15" hidden="false" customHeight="false" outlineLevel="0" collapsed="false">
      <c r="A411" s="4" t="s">
        <v>414</v>
      </c>
      <c r="B411" s="4" t="n">
        <v>2021</v>
      </c>
      <c r="C411" s="4" t="s">
        <v>645</v>
      </c>
      <c r="D411" s="23" t="n">
        <v>7318286000</v>
      </c>
      <c r="E411" s="23" t="n">
        <v>4856095000</v>
      </c>
      <c r="F411" s="23" t="n">
        <v>1692201000</v>
      </c>
      <c r="G411" s="23" t="n">
        <v>2588173000</v>
      </c>
      <c r="H411" s="23" t="n">
        <v>1390422000</v>
      </c>
      <c r="I411" s="4" t="n">
        <v>3.46</v>
      </c>
      <c r="J411" s="23" t="n">
        <v>401288000</v>
      </c>
      <c r="K411" s="23" t="n">
        <v>184825000</v>
      </c>
      <c r="L411" s="23" t="n">
        <v>2735069000</v>
      </c>
      <c r="M411" s="23" t="n">
        <v>-343676000</v>
      </c>
      <c r="N411" s="23" t="n">
        <v>2391393000</v>
      </c>
      <c r="O411" s="23" t="n">
        <v>243611000</v>
      </c>
      <c r="P411" s="23" t="n">
        <v>6822451000</v>
      </c>
      <c r="Q411" s="23" t="n">
        <v>1977964000</v>
      </c>
      <c r="R411" s="23" t="n">
        <v>37992542000</v>
      </c>
      <c r="S411" s="4" t="n">
        <v>49.5685714285714</v>
      </c>
    </row>
    <row r="412" customFormat="false" ht="15" hidden="false" customHeight="false" outlineLevel="0" collapsed="false">
      <c r="A412" s="4" t="s">
        <v>418</v>
      </c>
      <c r="B412" s="4" t="n">
        <v>2025</v>
      </c>
      <c r="C412" s="4" t="s">
        <v>103</v>
      </c>
      <c r="D412" s="23" t="n">
        <v>852525000</v>
      </c>
      <c r="E412" s="23" t="n">
        <v>645261000</v>
      </c>
      <c r="F412" s="23" t="n">
        <v>173423000</v>
      </c>
      <c r="G412" s="23" t="n">
        <v>224982000</v>
      </c>
      <c r="H412" s="23" t="n">
        <v>219134000</v>
      </c>
      <c r="I412" s="4" t="n">
        <v>1.22</v>
      </c>
      <c r="J412" s="23" t="n">
        <v>179551000</v>
      </c>
      <c r="K412" s="23" t="n">
        <v>0</v>
      </c>
      <c r="L412" s="23" t="n">
        <v>319306000</v>
      </c>
      <c r="M412" s="23" t="n">
        <v>-37544000</v>
      </c>
      <c r="N412" s="23" t="n">
        <v>281762000</v>
      </c>
      <c r="O412" s="23" t="n">
        <v>160033000</v>
      </c>
      <c r="P412" s="23" t="n">
        <v>35147000</v>
      </c>
      <c r="Q412" s="23" t="n">
        <v>1188816000</v>
      </c>
      <c r="R412" s="23" t="n">
        <v>1363634000</v>
      </c>
      <c r="S412" s="4" t="n">
        <v>126.030303030303</v>
      </c>
    </row>
    <row r="413" customFormat="false" ht="15" hidden="false" customHeight="false" outlineLevel="0" collapsed="false">
      <c r="A413" s="4" t="s">
        <v>418</v>
      </c>
      <c r="B413" s="4" t="n">
        <v>2024</v>
      </c>
      <c r="C413" s="4" t="s">
        <v>572</v>
      </c>
      <c r="D413" s="23" t="n">
        <v>396290000</v>
      </c>
      <c r="E413" s="23" t="n">
        <v>302699000</v>
      </c>
      <c r="F413" s="23" t="n">
        <v>-116066000</v>
      </c>
      <c r="G413" s="23" t="n">
        <v>-78624000</v>
      </c>
      <c r="H413" s="23" t="n">
        <v>-83421000</v>
      </c>
      <c r="I413" s="4" t="n">
        <v>-0.64</v>
      </c>
      <c r="J413" s="23" t="n">
        <v>131262000</v>
      </c>
      <c r="K413" s="23" t="n">
        <v>0</v>
      </c>
      <c r="L413" s="23" t="n">
        <v>136676000</v>
      </c>
      <c r="M413" s="23" t="n">
        <v>-34245000</v>
      </c>
      <c r="N413" s="23" t="n">
        <v>102431000</v>
      </c>
      <c r="O413" s="23" t="n">
        <v>234588000</v>
      </c>
      <c r="P413" s="23" t="n">
        <v>1286000</v>
      </c>
      <c r="Q413" s="23" t="n">
        <v>914301000</v>
      </c>
      <c r="R413" s="23" t="n">
        <v>964799000</v>
      </c>
      <c r="S413" s="4" t="n">
        <v>-206.953125</v>
      </c>
    </row>
    <row r="414" customFormat="false" ht="15" hidden="false" customHeight="false" outlineLevel="0" collapsed="false">
      <c r="A414" s="4" t="s">
        <v>418</v>
      </c>
      <c r="B414" s="4" t="n">
        <v>2023</v>
      </c>
      <c r="C414" s="4" t="s">
        <v>573</v>
      </c>
      <c r="D414" s="23" t="n">
        <v>115794000</v>
      </c>
      <c r="E414" s="23" t="n">
        <v>79827000</v>
      </c>
      <c r="F414" s="23" t="n">
        <v>-29497000</v>
      </c>
      <c r="G414" s="23" t="n">
        <v>-21167000</v>
      </c>
      <c r="H414" s="23" t="n">
        <v>-26257000</v>
      </c>
      <c r="I414" s="4" t="n">
        <v>-0.17</v>
      </c>
      <c r="J414" s="23" t="n">
        <v>152503000</v>
      </c>
      <c r="K414" s="23" t="n">
        <v>0</v>
      </c>
      <c r="L414" s="23" t="n">
        <v>-12716000</v>
      </c>
      <c r="M414" s="23" t="n">
        <v>-2761000</v>
      </c>
      <c r="N414" s="23" t="n">
        <v>-15477000</v>
      </c>
      <c r="O414" s="23" t="n">
        <v>10679000</v>
      </c>
      <c r="P414" s="23" t="n">
        <v>2934000</v>
      </c>
      <c r="Q414" s="23" t="n">
        <v>149313000</v>
      </c>
      <c r="R414" s="23" t="n">
        <v>157426000</v>
      </c>
      <c r="S414" s="4" t="n">
        <v>-364.882352941177</v>
      </c>
    </row>
    <row r="415" customFormat="false" ht="15" hidden="false" customHeight="false" outlineLevel="0" collapsed="false">
      <c r="A415" s="4" t="s">
        <v>418</v>
      </c>
      <c r="B415" s="4" t="n">
        <v>2022</v>
      </c>
      <c r="C415" s="4" t="s">
        <v>574</v>
      </c>
      <c r="D415" s="23" t="n">
        <v>79872000</v>
      </c>
      <c r="E415" s="23" t="n">
        <v>58681000</v>
      </c>
      <c r="F415" s="23" t="n">
        <v>-60194000</v>
      </c>
      <c r="G415" s="23" t="n">
        <v>-56774000</v>
      </c>
      <c r="H415" s="23" t="n">
        <v>-58345000</v>
      </c>
      <c r="I415" s="4" t="n">
        <v>-0.45</v>
      </c>
      <c r="J415" s="23" t="n">
        <v>130452000</v>
      </c>
      <c r="K415" s="23" t="n">
        <v>0</v>
      </c>
      <c r="L415" s="23" t="n">
        <v>-35898000</v>
      </c>
      <c r="M415" s="23" t="n">
        <v>-3873000</v>
      </c>
      <c r="N415" s="23" t="n">
        <v>-39771000</v>
      </c>
      <c r="O415" s="23" t="n">
        <v>30235000</v>
      </c>
      <c r="P415" s="23" t="n">
        <v>1597000</v>
      </c>
      <c r="Q415" s="23" t="n">
        <v>163144000</v>
      </c>
      <c r="R415" s="23" t="n">
        <v>-85292000</v>
      </c>
      <c r="S415" s="4" t="n">
        <v>-137.844444444444</v>
      </c>
    </row>
    <row r="416" customFormat="false" ht="15" hidden="false" customHeight="false" outlineLevel="0" collapsed="false">
      <c r="A416" s="4" t="s">
        <v>421</v>
      </c>
      <c r="B416" s="4" t="n">
        <v>2025</v>
      </c>
      <c r="C416" s="4" t="s">
        <v>103</v>
      </c>
      <c r="D416" s="23" t="n">
        <v>10645100000</v>
      </c>
      <c r="E416" s="23" t="n">
        <v>7843600000</v>
      </c>
      <c r="F416" s="23" t="n">
        <v>4880600000</v>
      </c>
      <c r="G416" s="23" t="n">
        <v>6103700000</v>
      </c>
      <c r="H416" s="23" t="n">
        <v>2529800000</v>
      </c>
      <c r="I416" s="4" t="n">
        <v>5.39</v>
      </c>
      <c r="J416" s="23" t="n">
        <v>469142857</v>
      </c>
      <c r="K416" s="23" t="n">
        <v>1017900000</v>
      </c>
      <c r="L416" s="23" t="n">
        <v>5464000000</v>
      </c>
      <c r="M416" s="23" t="n">
        <v>-1680400000</v>
      </c>
      <c r="N416" s="23" t="n">
        <v>3783600000</v>
      </c>
      <c r="O416" s="23" t="n">
        <v>174200000</v>
      </c>
      <c r="P416" s="23" t="n">
        <v>44963900000</v>
      </c>
      <c r="Q416" s="23" t="n">
        <v>1474800000</v>
      </c>
      <c r="R416" s="23" t="n">
        <v>10355300000</v>
      </c>
      <c r="S416" s="4" t="n">
        <v>32.512962962963</v>
      </c>
    </row>
    <row r="417" customFormat="false" ht="15" hidden="false" customHeight="false" outlineLevel="0" collapsed="false">
      <c r="A417" s="4" t="s">
        <v>421</v>
      </c>
      <c r="B417" s="4" t="n">
        <v>2024</v>
      </c>
      <c r="C417" s="4" t="s">
        <v>572</v>
      </c>
      <c r="D417" s="23" t="n">
        <v>10127200000</v>
      </c>
      <c r="E417" s="23" t="n">
        <v>7552800000</v>
      </c>
      <c r="F417" s="23" t="n">
        <v>4516500000</v>
      </c>
      <c r="G417" s="23" t="n">
        <v>7154100000</v>
      </c>
      <c r="H417" s="23" t="n">
        <v>2255000000</v>
      </c>
      <c r="I417" s="4" t="n">
        <v>4.82</v>
      </c>
      <c r="J417" s="23" t="n">
        <v>468120000</v>
      </c>
      <c r="K417" s="23" t="n">
        <v>1404500000</v>
      </c>
      <c r="L417" s="23" t="n">
        <v>5290500000</v>
      </c>
      <c r="M417" s="23" t="n">
        <v>-1590000000</v>
      </c>
      <c r="N417" s="23" t="n">
        <v>3700500000</v>
      </c>
      <c r="O417" s="23" t="n">
        <v>203600000</v>
      </c>
      <c r="P417" s="23" t="n">
        <v>43954100000</v>
      </c>
      <c r="Q417" s="23" t="n">
        <v>1999600000</v>
      </c>
      <c r="R417" s="23" t="n">
        <v>9648700000</v>
      </c>
      <c r="S417" s="4" t="n">
        <v>37.9730848861284</v>
      </c>
    </row>
    <row r="418" customFormat="false" ht="15" hidden="false" customHeight="false" outlineLevel="0" collapsed="false">
      <c r="A418" s="4" t="s">
        <v>421</v>
      </c>
      <c r="B418" s="4" t="n">
        <v>2023</v>
      </c>
      <c r="C418" s="4" t="s">
        <v>573</v>
      </c>
      <c r="D418" s="23" t="n">
        <v>10012200000</v>
      </c>
      <c r="E418" s="23" t="n">
        <v>7450700000</v>
      </c>
      <c r="F418" s="23" t="n">
        <v>3125500000</v>
      </c>
      <c r="G418" s="23" t="n">
        <v>6004000000</v>
      </c>
      <c r="H418" s="23" t="n">
        <v>1483300000</v>
      </c>
      <c r="I418" s="4" t="n">
        <v>3.18</v>
      </c>
      <c r="J418" s="23" t="n">
        <v>467162000</v>
      </c>
      <c r="K418" s="23" t="n">
        <v>1388200000</v>
      </c>
      <c r="L418" s="23" t="n">
        <v>4722400000</v>
      </c>
      <c r="M418" s="23" t="n">
        <v>-1798100000</v>
      </c>
      <c r="N418" s="23" t="n">
        <v>2924300000</v>
      </c>
      <c r="O418" s="23" t="n">
        <v>195700000</v>
      </c>
      <c r="P418" s="23" t="n">
        <v>46307000000</v>
      </c>
      <c r="Q418" s="23" t="n">
        <v>1753700000</v>
      </c>
      <c r="R418" s="23" t="n">
        <v>10865400000</v>
      </c>
      <c r="S418" s="4" t="n">
        <v>67.8867924528302</v>
      </c>
    </row>
    <row r="419" customFormat="false" ht="15" hidden="false" customHeight="false" outlineLevel="0" collapsed="false">
      <c r="A419" s="4" t="s">
        <v>421</v>
      </c>
      <c r="B419" s="4" t="n">
        <v>2022</v>
      </c>
      <c r="C419" s="4" t="s">
        <v>574</v>
      </c>
      <c r="D419" s="23" t="n">
        <v>9645400000</v>
      </c>
      <c r="E419" s="23" t="n">
        <v>7076200000</v>
      </c>
      <c r="F419" s="23" t="n">
        <v>2738600000</v>
      </c>
      <c r="G419" s="23" t="n">
        <v>6577100000</v>
      </c>
      <c r="H419" s="23" t="n">
        <v>1765800000</v>
      </c>
      <c r="I419" s="4" t="n">
        <v>3.82</v>
      </c>
      <c r="J419" s="23" t="n">
        <v>462750000</v>
      </c>
      <c r="K419" s="23" t="n">
        <v>1136000000</v>
      </c>
      <c r="L419" s="23" t="n">
        <v>3696200000</v>
      </c>
      <c r="M419" s="23" t="n">
        <v>-1873600000</v>
      </c>
      <c r="N419" s="23" t="n">
        <v>1822600000</v>
      </c>
      <c r="O419" s="23" t="n">
        <v>169300000</v>
      </c>
      <c r="P419" s="23" t="n">
        <v>47051000000</v>
      </c>
      <c r="Q419" s="23" t="n">
        <v>2028400000</v>
      </c>
      <c r="R419" s="23" t="n">
        <v>12408500000</v>
      </c>
      <c r="S419" s="4" t="n">
        <v>55.3159268929504</v>
      </c>
    </row>
    <row r="420" customFormat="false" ht="15" hidden="false" customHeight="false" outlineLevel="0" collapsed="false">
      <c r="A420" s="4" t="s">
        <v>421</v>
      </c>
      <c r="B420" s="4" t="n">
        <v>2021</v>
      </c>
      <c r="C420" s="4" t="s">
        <v>575</v>
      </c>
      <c r="D420" s="23" t="n">
        <v>9356900000</v>
      </c>
      <c r="E420" s="23" t="n">
        <v>6674900000</v>
      </c>
      <c r="F420" s="23" t="n">
        <v>3132000000</v>
      </c>
      <c r="G420" s="23" t="n">
        <v>6032900000</v>
      </c>
      <c r="H420" s="23" t="n">
        <v>2567700000</v>
      </c>
      <c r="I420" s="4" t="n">
        <v>5.66</v>
      </c>
      <c r="J420" s="23" t="n">
        <v>453294000</v>
      </c>
      <c r="K420" s="23" t="n">
        <v>870900000</v>
      </c>
      <c r="L420" s="23" t="n">
        <v>4819900000</v>
      </c>
      <c r="M420" s="23" t="n">
        <v>-1376700000</v>
      </c>
      <c r="N420" s="23" t="n">
        <v>3443200000</v>
      </c>
      <c r="O420" s="23" t="n">
        <v>119500000</v>
      </c>
      <c r="P420" s="23" t="n">
        <v>52008600000</v>
      </c>
      <c r="Q420" s="23" t="n">
        <v>1949900000</v>
      </c>
      <c r="R420" s="23" t="n">
        <v>9069600000</v>
      </c>
      <c r="S420" s="4" t="n">
        <v>51.4059753954306</v>
      </c>
    </row>
    <row r="421" customFormat="false" ht="15" hidden="false" customHeight="false" outlineLevel="0" collapsed="false">
      <c r="A421" s="4" t="s">
        <v>426</v>
      </c>
      <c r="B421" s="4" t="n">
        <v>2025</v>
      </c>
      <c r="C421" s="4" t="s">
        <v>103</v>
      </c>
      <c r="D421" s="23" t="n">
        <v>716924000000</v>
      </c>
      <c r="E421" s="23" t="n">
        <v>360510000000</v>
      </c>
      <c r="F421" s="23" t="n">
        <v>79975000000</v>
      </c>
      <c r="G421" s="23" t="n">
        <v>165341000000</v>
      </c>
      <c r="H421" s="23" t="n">
        <v>77670000000</v>
      </c>
      <c r="I421" s="4" t="n">
        <v>7.17</v>
      </c>
      <c r="J421" s="23" t="n">
        <v>10827000000</v>
      </c>
      <c r="K421" s="23" t="n">
        <v>2274000000</v>
      </c>
      <c r="L421" s="23" t="n">
        <v>139514000000</v>
      </c>
      <c r="M421" s="23" t="n">
        <v>-131819000000</v>
      </c>
      <c r="N421" s="23" t="n">
        <v>7695000000</v>
      </c>
      <c r="O421" s="23" t="n">
        <v>19467000000</v>
      </c>
      <c r="P421" s="23" t="n">
        <v>152987000000</v>
      </c>
      <c r="Q421" s="23" t="n">
        <v>123029000000</v>
      </c>
      <c r="R421" s="23" t="n">
        <v>411065000000</v>
      </c>
      <c r="S421" s="4" t="n">
        <v>31.6625514403292</v>
      </c>
    </row>
    <row r="422" customFormat="false" ht="15" hidden="false" customHeight="false" outlineLevel="0" collapsed="false">
      <c r="A422" s="4" t="s">
        <v>426</v>
      </c>
      <c r="B422" s="4" t="n">
        <v>2024</v>
      </c>
      <c r="C422" s="4" t="s">
        <v>572</v>
      </c>
      <c r="D422" s="23" t="n">
        <v>637959000000</v>
      </c>
      <c r="E422" s="23" t="n">
        <v>311671000000</v>
      </c>
      <c r="F422" s="23" t="n">
        <v>68593000000</v>
      </c>
      <c r="G422" s="23" t="n">
        <v>123815000000</v>
      </c>
      <c r="H422" s="23" t="n">
        <v>59248000000</v>
      </c>
      <c r="I422" s="4" t="n">
        <v>5.53</v>
      </c>
      <c r="J422" s="23" t="n">
        <v>10721000000</v>
      </c>
      <c r="K422" s="23" t="n">
        <v>2406000000</v>
      </c>
      <c r="L422" s="23" t="n">
        <v>115877000000</v>
      </c>
      <c r="M422" s="23" t="n">
        <v>-82999000000</v>
      </c>
      <c r="N422" s="23" t="n">
        <v>32878000000</v>
      </c>
      <c r="O422" s="23" t="n">
        <v>22011000000</v>
      </c>
      <c r="P422" s="23" t="n">
        <v>130900000000</v>
      </c>
      <c r="Q422" s="23" t="n">
        <v>101202000000</v>
      </c>
      <c r="R422" s="23" t="n">
        <v>285970000000</v>
      </c>
      <c r="S422" s="4" t="n">
        <v>38.7614840989399</v>
      </c>
    </row>
    <row r="423" customFormat="false" ht="15" hidden="false" customHeight="false" outlineLevel="0" collapsed="false">
      <c r="A423" s="4" t="s">
        <v>426</v>
      </c>
      <c r="B423" s="4" t="n">
        <v>2023</v>
      </c>
      <c r="C423" s="4" t="s">
        <v>573</v>
      </c>
      <c r="D423" s="23" t="n">
        <v>574785000000</v>
      </c>
      <c r="E423" s="23" t="n">
        <v>270046000000</v>
      </c>
      <c r="F423" s="23" t="n">
        <v>36852000000</v>
      </c>
      <c r="G423" s="23" t="n">
        <v>89402000000</v>
      </c>
      <c r="H423" s="23" t="n">
        <v>30425000000</v>
      </c>
      <c r="I423" s="4" t="n">
        <v>2.9</v>
      </c>
      <c r="J423" s="23" t="n">
        <v>10492000000</v>
      </c>
      <c r="K423" s="23" t="n">
        <v>3182000000</v>
      </c>
      <c r="L423" s="23" t="n">
        <v>84946000000</v>
      </c>
      <c r="M423" s="23" t="n">
        <v>-52729000000</v>
      </c>
      <c r="N423" s="23" t="n">
        <v>32217000000</v>
      </c>
      <c r="O423" s="23" t="n">
        <v>24023000000</v>
      </c>
      <c r="P423" s="23" t="n">
        <v>135611000000</v>
      </c>
      <c r="Q423" s="23" t="n">
        <v>86780000000</v>
      </c>
      <c r="R423" s="23" t="n">
        <v>201875000000</v>
      </c>
      <c r="S423" s="4" t="n">
        <v>51.5050847457627</v>
      </c>
    </row>
    <row r="424" customFormat="false" ht="15" hidden="false" customHeight="false" outlineLevel="0" collapsed="false">
      <c r="A424" s="4" t="s">
        <v>426</v>
      </c>
      <c r="B424" s="4" t="n">
        <v>2022</v>
      </c>
      <c r="C424" s="4" t="s">
        <v>574</v>
      </c>
      <c r="D424" s="23" t="n">
        <v>513983000000</v>
      </c>
      <c r="E424" s="23" t="n">
        <v>225152000000</v>
      </c>
      <c r="F424" s="23" t="n">
        <v>12248000000</v>
      </c>
      <c r="G424" s="23" t="n">
        <v>38352000000</v>
      </c>
      <c r="H424" s="23" t="n">
        <v>-2722000000</v>
      </c>
      <c r="I424" s="4" t="n">
        <v>-0.27</v>
      </c>
      <c r="J424" s="23" t="n">
        <v>10189000000</v>
      </c>
      <c r="K424" s="23" t="n">
        <v>2367000000</v>
      </c>
      <c r="L424" s="23" t="n">
        <v>46752000000</v>
      </c>
      <c r="M424" s="23" t="n">
        <v>-63645000000</v>
      </c>
      <c r="N424" s="23" t="n">
        <v>-16893000000</v>
      </c>
      <c r="O424" s="23" t="n">
        <v>19621000000</v>
      </c>
      <c r="P424" s="23" t="n">
        <v>140118000000</v>
      </c>
      <c r="Q424" s="23" t="n">
        <v>70026000000</v>
      </c>
      <c r="R424" s="23" t="n">
        <v>146043000000</v>
      </c>
      <c r="S424" s="4" t="n">
        <v>-311.111111111111</v>
      </c>
    </row>
    <row r="425" customFormat="false" ht="15" hidden="false" customHeight="false" outlineLevel="0" collapsed="false">
      <c r="A425" s="4" t="s">
        <v>426</v>
      </c>
      <c r="B425" s="4" t="n">
        <v>2021</v>
      </c>
      <c r="C425" s="4" t="s">
        <v>575</v>
      </c>
      <c r="D425" s="23" t="n">
        <v>469822000000</v>
      </c>
      <c r="E425" s="23" t="n">
        <v>197478000000</v>
      </c>
      <c r="F425" s="23" t="n">
        <v>24879000000</v>
      </c>
      <c r="G425" s="23" t="n">
        <v>74393000000</v>
      </c>
      <c r="H425" s="23" t="n">
        <v>33364000000</v>
      </c>
      <c r="I425" s="4" t="n">
        <v>3.24</v>
      </c>
      <c r="J425" s="23" t="n">
        <v>10300000000</v>
      </c>
      <c r="K425" s="23" t="n">
        <v>1809000000</v>
      </c>
      <c r="L425" s="23" t="n">
        <v>46327000000</v>
      </c>
      <c r="M425" s="23" t="n">
        <v>-61053000000</v>
      </c>
      <c r="N425" s="23" t="n">
        <v>-14726000000</v>
      </c>
      <c r="O425" s="23" t="n">
        <v>12757000000</v>
      </c>
      <c r="P425" s="23" t="n">
        <v>116395000000</v>
      </c>
      <c r="Q425" s="23" t="n">
        <v>96049000000</v>
      </c>
      <c r="R425" s="23" t="n">
        <v>138245000000</v>
      </c>
      <c r="S425" s="4" t="n">
        <v>50.5212121212121</v>
      </c>
    </row>
    <row r="426" customFormat="false" ht="15" hidden="false" customHeight="false" outlineLevel="0" collapsed="false">
      <c r="A426" s="4" t="s">
        <v>430</v>
      </c>
      <c r="B426" s="4" t="n">
        <v>2025</v>
      </c>
      <c r="C426" s="4" t="s">
        <v>103</v>
      </c>
      <c r="D426" s="23" t="n">
        <v>24216000000</v>
      </c>
      <c r="E426" s="23" t="n">
        <v>11310000000</v>
      </c>
      <c r="F426" s="23" t="n">
        <v>7043000000</v>
      </c>
      <c r="G426" s="23" t="n">
        <v>8109000000</v>
      </c>
      <c r="H426" s="23" t="n">
        <v>5553000000</v>
      </c>
      <c r="I426" s="4" t="n">
        <v>35.31</v>
      </c>
      <c r="J426" s="23" t="n">
        <v>160900000</v>
      </c>
      <c r="K426" s="23" t="n">
        <v>706000000</v>
      </c>
      <c r="L426" s="23" t="n">
        <v>3927000000</v>
      </c>
      <c r="M426" s="23" t="n">
        <v>-375000000</v>
      </c>
      <c r="N426" s="23" t="n">
        <v>3552000000</v>
      </c>
      <c r="O426" s="23" t="n">
        <v>1307000000</v>
      </c>
      <c r="P426" s="23" t="n">
        <v>14996000000</v>
      </c>
      <c r="Q426" s="23" t="n">
        <v>14257000000</v>
      </c>
      <c r="R426" s="23" t="n">
        <v>61542000000</v>
      </c>
      <c r="S426" s="4" t="n">
        <v>29.8727323471951</v>
      </c>
    </row>
    <row r="427" customFormat="false" ht="15" hidden="false" customHeight="false" outlineLevel="0" collapsed="false">
      <c r="A427" s="4" t="s">
        <v>430</v>
      </c>
      <c r="B427" s="4" t="n">
        <v>2024</v>
      </c>
      <c r="C427" s="4" t="s">
        <v>572</v>
      </c>
      <c r="D427" s="23" t="n">
        <v>20407000000</v>
      </c>
      <c r="E427" s="23" t="n">
        <v>10086000000</v>
      </c>
      <c r="F427" s="23" t="n">
        <v>7574000000</v>
      </c>
      <c r="G427" s="23" t="n">
        <v>8207000000</v>
      </c>
      <c r="H427" s="23" t="n">
        <v>6369000000</v>
      </c>
      <c r="I427" s="4" t="n">
        <v>42.01</v>
      </c>
      <c r="J427" s="23" t="n">
        <v>151600000</v>
      </c>
      <c r="K427" s="23" t="n">
        <v>538000000</v>
      </c>
      <c r="L427" s="23" t="n">
        <v>4956000000</v>
      </c>
      <c r="M427" s="23" t="n">
        <v>-255000000</v>
      </c>
      <c r="N427" s="23" t="n">
        <v>4701000000</v>
      </c>
      <c r="O427" s="23" t="n">
        <v>753000000</v>
      </c>
      <c r="P427" s="23" t="n">
        <v>14222000000</v>
      </c>
      <c r="Q427" s="23" t="n">
        <v>14585000000</v>
      </c>
      <c r="R427" s="23" t="n">
        <v>49355000000</v>
      </c>
      <c r="S427" s="4" t="n">
        <v>24.1486454652532</v>
      </c>
    </row>
    <row r="428" customFormat="false" ht="15" hidden="false" customHeight="false" outlineLevel="0" collapsed="false">
      <c r="A428" s="4" t="s">
        <v>430</v>
      </c>
      <c r="B428" s="4" t="n">
        <v>2023</v>
      </c>
      <c r="C428" s="4" t="s">
        <v>573</v>
      </c>
      <c r="D428" s="23" t="n">
        <v>17859000000</v>
      </c>
      <c r="E428" s="23" t="n">
        <v>8582000000</v>
      </c>
      <c r="F428" s="23" t="n">
        <v>6275000000</v>
      </c>
      <c r="G428" s="23" t="n">
        <v>6773000000</v>
      </c>
      <c r="H428" s="23" t="n">
        <v>5502000000</v>
      </c>
      <c r="I428" s="4" t="n">
        <v>36.51</v>
      </c>
      <c r="J428" s="23" t="n">
        <v>150706451</v>
      </c>
      <c r="K428" s="23" t="n">
        <v>292000000</v>
      </c>
      <c r="L428" s="23" t="n">
        <v>4165000000</v>
      </c>
      <c r="M428" s="23" t="n">
        <v>-344000000</v>
      </c>
      <c r="N428" s="23" t="n">
        <v>3821000000</v>
      </c>
      <c r="O428" s="23" t="n">
        <v>630000000</v>
      </c>
      <c r="P428" s="23" t="n">
        <v>9702000000</v>
      </c>
      <c r="Q428" s="23" t="n">
        <v>10607000000</v>
      </c>
      <c r="R428" s="23" t="n">
        <v>41240000000</v>
      </c>
      <c r="S428" s="4" t="n">
        <v>22.0298507462687</v>
      </c>
    </row>
    <row r="429" customFormat="false" ht="15" hidden="false" customHeight="false" outlineLevel="0" collapsed="false">
      <c r="A429" s="4" t="s">
        <v>430</v>
      </c>
      <c r="B429" s="4" t="n">
        <v>2022</v>
      </c>
      <c r="C429" s="4" t="s">
        <v>574</v>
      </c>
      <c r="D429" s="23" t="n">
        <v>17873000000</v>
      </c>
      <c r="E429" s="23" t="n">
        <v>8684000000</v>
      </c>
      <c r="F429" s="23" t="n">
        <v>6385000000</v>
      </c>
      <c r="G429" s="23" t="n">
        <v>6897000000</v>
      </c>
      <c r="H429" s="23" t="n">
        <v>5178000000</v>
      </c>
      <c r="I429" s="4" t="n">
        <v>33.97</v>
      </c>
      <c r="J429" s="23" t="n">
        <v>152440471</v>
      </c>
      <c r="K429" s="23" t="n">
        <v>212000000</v>
      </c>
      <c r="L429" s="23" t="n">
        <v>4956000000</v>
      </c>
      <c r="M429" s="23" t="n">
        <v>-533000000</v>
      </c>
      <c r="N429" s="23" t="n">
        <v>4423000000</v>
      </c>
      <c r="O429" s="23" t="n">
        <v>708000000</v>
      </c>
      <c r="P429" s="23" t="n">
        <v>8489000000</v>
      </c>
      <c r="Q429" s="23" t="n">
        <v>8747000000</v>
      </c>
      <c r="R429" s="23" t="n">
        <v>38785000000</v>
      </c>
      <c r="S429" s="4" t="n">
        <v>20.6537452637715</v>
      </c>
    </row>
    <row r="430" customFormat="false" ht="15" hidden="false" customHeight="false" outlineLevel="0" collapsed="false">
      <c r="A430" s="4" t="s">
        <v>430</v>
      </c>
      <c r="B430" s="4" t="n">
        <v>2021</v>
      </c>
      <c r="C430" s="4" t="s">
        <v>575</v>
      </c>
      <c r="D430" s="23" t="n">
        <v>19374000000</v>
      </c>
      <c r="E430" s="23" t="n">
        <v>9818000000</v>
      </c>
      <c r="F430" s="23" t="n">
        <v>7450000000</v>
      </c>
      <c r="G430" s="23" t="n">
        <v>7899000000</v>
      </c>
      <c r="H430" s="23" t="n">
        <v>5901000000</v>
      </c>
      <c r="I430" s="4" t="n">
        <v>38.22</v>
      </c>
      <c r="J430" s="23" t="n">
        <v>154404357</v>
      </c>
      <c r="K430" s="23" t="n">
        <v>205000000</v>
      </c>
      <c r="L430" s="23" t="n">
        <v>4944000000</v>
      </c>
      <c r="M430" s="23" t="n">
        <v>-341000000</v>
      </c>
      <c r="N430" s="23" t="n">
        <v>4603000000</v>
      </c>
      <c r="O430" s="23" t="n">
        <v>734000000</v>
      </c>
      <c r="P430" s="23" t="n">
        <v>9318000000</v>
      </c>
      <c r="Q430" s="23" t="n">
        <v>9323000000</v>
      </c>
      <c r="R430" s="23" t="n">
        <v>38893000000</v>
      </c>
      <c r="S430" s="4" t="n">
        <v>23.6212590299278</v>
      </c>
    </row>
    <row r="431" customFormat="false" ht="15" hidden="false" customHeight="false" outlineLevel="0" collapsed="false">
      <c r="A431" s="4" t="s">
        <v>434</v>
      </c>
      <c r="B431" s="4" t="n">
        <v>2025</v>
      </c>
      <c r="C431" s="4" t="s">
        <v>103</v>
      </c>
      <c r="D431" s="23" t="n">
        <v>371444000000</v>
      </c>
      <c r="E431" s="23" t="n">
        <v>87775000000</v>
      </c>
      <c r="F431" s="23" t="n">
        <v>58880000000</v>
      </c>
      <c r="G431" s="23" t="n">
        <v>72356000000</v>
      </c>
      <c r="H431" s="23" t="n">
        <v>66968000000</v>
      </c>
      <c r="I431" s="4" t="n">
        <v>31.04</v>
      </c>
      <c r="J431" s="23" t="n">
        <v>2157335000</v>
      </c>
      <c r="K431" s="23" t="n">
        <v>5069000000</v>
      </c>
      <c r="L431" s="23" t="n">
        <v>45969000000</v>
      </c>
      <c r="M431" s="23" t="n">
        <v>-20927000000</v>
      </c>
      <c r="N431" s="23" t="n">
        <v>25042000000</v>
      </c>
      <c r="O431" s="23" t="n">
        <v>0</v>
      </c>
      <c r="P431" s="23" t="n">
        <v>138954000000</v>
      </c>
      <c r="Q431" s="23" t="n">
        <v>373311000000</v>
      </c>
      <c r="R431" s="23" t="n">
        <v>719703000000</v>
      </c>
      <c r="S431" s="4" t="n">
        <v>16.1936211340206</v>
      </c>
    </row>
    <row r="432" customFormat="false" ht="15" hidden="false" customHeight="false" outlineLevel="0" collapsed="false">
      <c r="A432" s="4" t="s">
        <v>434</v>
      </c>
      <c r="B432" s="4" t="n">
        <v>2024</v>
      </c>
      <c r="C432" s="4" t="s">
        <v>572</v>
      </c>
      <c r="D432" s="23" t="n">
        <v>371433000000</v>
      </c>
      <c r="E432" s="23" t="n">
        <v>86578000000</v>
      </c>
      <c r="F432" s="23" t="n">
        <v>59436000000</v>
      </c>
      <c r="G432" s="23" t="n">
        <v>72291000000</v>
      </c>
      <c r="H432" s="23" t="n">
        <v>88995000000</v>
      </c>
      <c r="I432" s="4" t="n">
        <v>41.27</v>
      </c>
      <c r="J432" s="23" t="n">
        <v>2156580000</v>
      </c>
      <c r="K432" s="23" t="n">
        <v>5200000000</v>
      </c>
      <c r="L432" s="23" t="n">
        <v>30592000000</v>
      </c>
      <c r="M432" s="23" t="n">
        <v>-18976000000</v>
      </c>
      <c r="N432" s="23" t="n">
        <v>11616000000</v>
      </c>
      <c r="O432" s="23" t="n">
        <v>0</v>
      </c>
      <c r="P432" s="23" t="n">
        <v>143527000000</v>
      </c>
      <c r="Q432" s="23" t="n">
        <v>334201000000</v>
      </c>
      <c r="R432" s="23" t="n">
        <v>651655000000</v>
      </c>
      <c r="S432" s="4" t="n">
        <v>10.9832808335353</v>
      </c>
    </row>
    <row r="433" customFormat="false" ht="15" hidden="false" customHeight="false" outlineLevel="0" collapsed="false">
      <c r="A433" s="4" t="s">
        <v>434</v>
      </c>
      <c r="B433" s="4" t="n">
        <v>2023</v>
      </c>
      <c r="C433" s="4" t="s">
        <v>573</v>
      </c>
      <c r="D433" s="23" t="n">
        <v>364482000000</v>
      </c>
      <c r="E433" s="23" t="n">
        <v>70946000000</v>
      </c>
      <c r="F433" s="23" t="n">
        <v>48124000000</v>
      </c>
      <c r="G433" s="23" t="n">
        <v>60610000000</v>
      </c>
      <c r="H433" s="23" t="n">
        <v>96223000000</v>
      </c>
      <c r="I433" s="4" t="n">
        <v>44.27</v>
      </c>
      <c r="J433" s="23" t="n">
        <v>2173320000</v>
      </c>
      <c r="K433" s="23" t="n">
        <v>5003000000</v>
      </c>
      <c r="L433" s="23" t="n">
        <v>49196000000</v>
      </c>
      <c r="M433" s="23" t="n">
        <v>-19409000000</v>
      </c>
      <c r="N433" s="23" t="n">
        <v>29787000000</v>
      </c>
      <c r="O433" s="23" t="n">
        <v>0</v>
      </c>
      <c r="P433" s="23" t="n">
        <v>133570000000</v>
      </c>
      <c r="Q433" s="23" t="n">
        <v>167641000000</v>
      </c>
      <c r="R433" s="23" t="n">
        <v>570770000000</v>
      </c>
      <c r="S433" s="4" t="n">
        <v>8.05647165123108</v>
      </c>
    </row>
    <row r="434" customFormat="false" ht="15" hidden="false" customHeight="false" outlineLevel="0" collapsed="false">
      <c r="A434" s="4" t="s">
        <v>434</v>
      </c>
      <c r="B434" s="4" t="n">
        <v>2022</v>
      </c>
      <c r="C434" s="4" t="s">
        <v>574</v>
      </c>
      <c r="D434" s="23" t="n">
        <v>302020000000</v>
      </c>
      <c r="E434" s="23" t="n">
        <v>59394000000</v>
      </c>
      <c r="F434" s="23" t="n">
        <v>41588000000</v>
      </c>
      <c r="G434" s="23" t="n">
        <v>52487000000</v>
      </c>
      <c r="H434" s="23" t="n">
        <v>-22759000000</v>
      </c>
      <c r="I434" s="4" t="n">
        <v>-10.36</v>
      </c>
      <c r="J434" s="23" t="n">
        <v>2203314000</v>
      </c>
      <c r="K434" s="23" t="n">
        <v>4352000000</v>
      </c>
      <c r="L434" s="23" t="n">
        <v>37224000000</v>
      </c>
      <c r="M434" s="23" t="n">
        <v>-15464000000</v>
      </c>
      <c r="N434" s="23" t="n">
        <v>21760000000</v>
      </c>
      <c r="O434" s="23" t="n">
        <v>0</v>
      </c>
      <c r="P434" s="23" t="n">
        <v>127683000000</v>
      </c>
      <c r="Q434" s="23" t="n">
        <v>128585000000</v>
      </c>
      <c r="R434" s="23" t="n">
        <v>481681000000</v>
      </c>
      <c r="S434" s="4" t="n">
        <v>-29.8166017374517</v>
      </c>
    </row>
    <row r="435" customFormat="false" ht="15" hidden="false" customHeight="false" outlineLevel="0" collapsed="false">
      <c r="A435" s="4" t="s">
        <v>434</v>
      </c>
      <c r="B435" s="4" t="n">
        <v>2021</v>
      </c>
      <c r="C435" s="4" t="s">
        <v>575</v>
      </c>
      <c r="D435" s="23" t="n">
        <v>276094000000</v>
      </c>
      <c r="E435" s="23" t="n">
        <v>55164000000</v>
      </c>
      <c r="F435" s="23" t="n">
        <v>35021000000</v>
      </c>
      <c r="G435" s="23" t="n">
        <v>45739000000</v>
      </c>
      <c r="H435" s="23" t="n">
        <v>89937000000</v>
      </c>
      <c r="I435" s="4" t="n">
        <v>39.64</v>
      </c>
      <c r="J435" s="23" t="n">
        <v>2265270000</v>
      </c>
      <c r="K435" s="23" t="n">
        <v>4172000000</v>
      </c>
      <c r="L435" s="23" t="n">
        <v>39421000000</v>
      </c>
      <c r="M435" s="23" t="n">
        <v>-13276000000</v>
      </c>
      <c r="N435" s="23" t="n">
        <v>26145000000</v>
      </c>
      <c r="O435" s="23" t="n">
        <v>0</v>
      </c>
      <c r="P435" s="23" t="n">
        <v>119253000000</v>
      </c>
      <c r="Q435" s="23" t="n">
        <v>146719000000</v>
      </c>
      <c r="R435" s="23" t="n">
        <v>514930000000</v>
      </c>
      <c r="S435" s="4" t="n">
        <v>7.54288597376388</v>
      </c>
    </row>
    <row r="436" customFormat="false" ht="15" hidden="false" customHeight="false" outlineLevel="0" collapsed="false">
      <c r="A436" s="4" t="s">
        <v>438</v>
      </c>
      <c r="B436" s="4" t="n">
        <v>2025</v>
      </c>
      <c r="C436" s="4" t="s">
        <v>103</v>
      </c>
      <c r="D436" s="23" t="n">
        <v>7181325000</v>
      </c>
      <c r="E436" s="23" t="n">
        <v>5360105000</v>
      </c>
      <c r="F436" s="23" t="n">
        <v>1456145000</v>
      </c>
      <c r="G436" s="23" t="n">
        <v>1795906000</v>
      </c>
      <c r="H436" s="23" t="n">
        <v>1260327000</v>
      </c>
      <c r="I436" s="4" t="n">
        <v>4.45</v>
      </c>
      <c r="J436" s="23" t="n">
        <v>287209000</v>
      </c>
      <c r="K436" s="23" t="n">
        <v>85413000</v>
      </c>
      <c r="L436" s="23" t="n">
        <v>2426383000</v>
      </c>
      <c r="M436" s="23" t="n">
        <v>0</v>
      </c>
      <c r="N436" s="23" t="n">
        <v>2426383000</v>
      </c>
      <c r="O436" s="23" t="n">
        <v>839440000</v>
      </c>
      <c r="P436" s="23" t="n">
        <v>7831459000</v>
      </c>
      <c r="Q436" s="23" t="n">
        <v>11914066000</v>
      </c>
      <c r="R436" s="23" t="n">
        <v>14793058000</v>
      </c>
      <c r="S436" s="4" t="n">
        <v>46.6268041237113</v>
      </c>
    </row>
    <row r="437" customFormat="false" ht="15" hidden="false" customHeight="false" outlineLevel="0" collapsed="false">
      <c r="A437" s="4" t="s">
        <v>438</v>
      </c>
      <c r="B437" s="4" t="n">
        <v>2024</v>
      </c>
      <c r="C437" s="4" t="s">
        <v>572</v>
      </c>
      <c r="D437" s="23" t="n">
        <v>6564028000</v>
      </c>
      <c r="E437" s="23" t="n">
        <v>4906481000</v>
      </c>
      <c r="F437" s="23" t="n">
        <v>2307160000</v>
      </c>
      <c r="G437" s="23" t="n">
        <v>3150807000</v>
      </c>
      <c r="H437" s="23" t="n">
        <v>2579066000</v>
      </c>
      <c r="I437" s="4" t="n">
        <v>9.48</v>
      </c>
      <c r="J437" s="23" t="n">
        <v>273377000</v>
      </c>
      <c r="K437" s="23" t="n">
        <v>80645000</v>
      </c>
      <c r="L437" s="23" t="n">
        <v>2556844000</v>
      </c>
      <c r="M437" s="23" t="n">
        <v>0</v>
      </c>
      <c r="N437" s="23" t="n">
        <v>2556844000</v>
      </c>
      <c r="O437" s="23" t="n">
        <v>912838000</v>
      </c>
      <c r="P437" s="23" t="n">
        <v>4629577000</v>
      </c>
      <c r="Q437" s="23" t="n">
        <v>9548136000</v>
      </c>
      <c r="R437" s="23" t="n">
        <v>10276842000</v>
      </c>
      <c r="S437" s="4" t="n">
        <v>23.8291746641075</v>
      </c>
    </row>
    <row r="438" customFormat="false" ht="15" hidden="false" customHeight="false" outlineLevel="0" collapsed="false">
      <c r="A438" s="4" t="s">
        <v>438</v>
      </c>
      <c r="B438" s="4" t="n">
        <v>2023</v>
      </c>
      <c r="C438" s="4" t="s">
        <v>573</v>
      </c>
      <c r="D438" s="23" t="n">
        <v>3108383000</v>
      </c>
      <c r="E438" s="23" t="n">
        <v>1972833000</v>
      </c>
      <c r="F438" s="23" t="n">
        <v>-161662000</v>
      </c>
      <c r="G438" s="23" t="n">
        <v>145563000</v>
      </c>
      <c r="H438" s="23" t="n">
        <v>94871000</v>
      </c>
      <c r="I438" s="4" t="n">
        <v>0.37</v>
      </c>
      <c r="J438" s="23" t="n">
        <v>254391000</v>
      </c>
      <c r="K438" s="23" t="n">
        <v>82766000</v>
      </c>
      <c r="L438" s="23" t="n">
        <v>922951000</v>
      </c>
      <c r="M438" s="23" t="n">
        <v>0</v>
      </c>
      <c r="N438" s="23" t="n">
        <v>922951000</v>
      </c>
      <c r="O438" s="23" t="n">
        <v>780668000</v>
      </c>
      <c r="P438" s="23" t="n">
        <v>2994680000</v>
      </c>
      <c r="Q438" s="23" t="n">
        <v>5525369000</v>
      </c>
      <c r="R438" s="23" t="n">
        <v>6281649000</v>
      </c>
      <c r="S438" s="4" t="n">
        <v>434.8</v>
      </c>
    </row>
    <row r="439" customFormat="false" ht="15" hidden="false" customHeight="false" outlineLevel="0" collapsed="false">
      <c r="A439" s="4" t="s">
        <v>438</v>
      </c>
      <c r="B439" s="4" t="n">
        <v>2022</v>
      </c>
      <c r="C439" s="4" t="s">
        <v>574</v>
      </c>
      <c r="D439" s="23" t="n">
        <v>3194208000</v>
      </c>
      <c r="E439" s="23" t="n">
        <v>2564328000</v>
      </c>
      <c r="F439" s="23" t="n">
        <v>-2710208000</v>
      </c>
      <c r="G439" s="23" t="n">
        <v>-2821612000</v>
      </c>
      <c r="H439" s="23" t="n">
        <v>-2624949000</v>
      </c>
      <c r="I439" s="4" t="n">
        <v>-11.83</v>
      </c>
      <c r="J439" s="23" t="n">
        <v>222338000</v>
      </c>
      <c r="K439" s="23" t="n">
        <v>88901000</v>
      </c>
      <c r="L439" s="23" t="n">
        <v>-1585419000</v>
      </c>
      <c r="M439" s="23" t="n">
        <v>-2933000</v>
      </c>
      <c r="N439" s="23" t="n">
        <v>-1585419000</v>
      </c>
      <c r="O439" s="23" t="n">
        <v>1565823000</v>
      </c>
      <c r="P439" s="23" t="n">
        <v>3489745000</v>
      </c>
      <c r="Q439" s="23" t="n">
        <v>5286170000</v>
      </c>
      <c r="R439" s="23" t="n">
        <v>5454557000</v>
      </c>
      <c r="S439" s="4" t="n">
        <v>-2.98902027027027</v>
      </c>
    </row>
    <row r="440" customFormat="false" ht="15" hidden="false" customHeight="false" outlineLevel="0" collapsed="false">
      <c r="A440" s="4" t="s">
        <v>438</v>
      </c>
      <c r="B440" s="4" t="n">
        <v>2021</v>
      </c>
      <c r="C440" s="4" t="s">
        <v>575</v>
      </c>
      <c r="D440" s="23" t="n">
        <v>7839444000</v>
      </c>
      <c r="E440" s="23" t="n">
        <v>6100900000</v>
      </c>
      <c r="F440" s="23" t="n">
        <v>3076570000</v>
      </c>
      <c r="G440" s="23" t="n">
        <v>3119758000</v>
      </c>
      <c r="H440" s="23" t="n">
        <v>3624120000</v>
      </c>
      <c r="I440" s="4" t="n">
        <v>14.5</v>
      </c>
      <c r="J440" s="23" t="n">
        <v>219965000</v>
      </c>
      <c r="K440" s="23" t="n">
        <v>29160000</v>
      </c>
      <c r="L440" s="23" t="n">
        <v>4038172000</v>
      </c>
      <c r="M440" s="23" t="n">
        <v>-82873000</v>
      </c>
      <c r="N440" s="23" t="n">
        <v>3955299000</v>
      </c>
      <c r="O440" s="23" t="n">
        <v>820685000</v>
      </c>
      <c r="P440" s="23" t="n">
        <v>3511299000</v>
      </c>
      <c r="Q440" s="23" t="n">
        <v>7223574000</v>
      </c>
      <c r="R440" s="23" t="n">
        <v>6381689000</v>
      </c>
      <c r="S440" s="4" t="n">
        <v>14.445907269605</v>
      </c>
    </row>
    <row r="441" customFormat="false" ht="15" hidden="false" customHeight="false" outlineLevel="0" collapsed="false">
      <c r="A441" s="4" t="s">
        <v>442</v>
      </c>
      <c r="B441" s="4" t="n">
        <v>2026</v>
      </c>
      <c r="C441" s="4" t="s">
        <v>446</v>
      </c>
      <c r="D441" s="23" t="n">
        <v>1335116000</v>
      </c>
      <c r="E441" s="23" t="n">
        <v>908349000</v>
      </c>
      <c r="F441" s="23" t="n">
        <v>445005000</v>
      </c>
      <c r="G441" s="23" t="n">
        <v>510072000</v>
      </c>
      <c r="H441" s="23" t="n">
        <v>472279000</v>
      </c>
      <c r="I441" s="4" t="n">
        <v>2.51</v>
      </c>
      <c r="J441" s="23" t="n">
        <v>188232000</v>
      </c>
      <c r="K441" s="23" t="n">
        <v>0</v>
      </c>
      <c r="L441" s="23" t="n">
        <v>464292000</v>
      </c>
      <c r="M441" s="23" t="n">
        <v>-57296000</v>
      </c>
      <c r="N441" s="23" t="n">
        <v>406996000</v>
      </c>
      <c r="O441" s="23" t="n">
        <v>182638000</v>
      </c>
      <c r="P441" s="23" t="n">
        <v>25448000</v>
      </c>
      <c r="Q441" s="23" t="n">
        <v>1443286000</v>
      </c>
      <c r="R441" s="23" t="n">
        <v>2063612000</v>
      </c>
      <c r="S441" s="4" t="n">
        <v>69.577358490566</v>
      </c>
    </row>
    <row r="442" customFormat="false" ht="15" hidden="false" customHeight="false" outlineLevel="0" collapsed="false">
      <c r="A442" s="4" t="s">
        <v>442</v>
      </c>
      <c r="B442" s="4" t="n">
        <v>2025</v>
      </c>
      <c r="C442" s="4" t="s">
        <v>646</v>
      </c>
      <c r="D442" s="23" t="n">
        <v>436775000</v>
      </c>
      <c r="E442" s="23" t="n">
        <v>282909000</v>
      </c>
      <c r="F442" s="23" t="n">
        <v>37997000</v>
      </c>
      <c r="G442" s="23" t="n">
        <v>76808000</v>
      </c>
      <c r="H442" s="23" t="n">
        <v>52183000</v>
      </c>
      <c r="I442" s="4" t="n">
        <v>0.29</v>
      </c>
      <c r="J442" s="23" t="n">
        <v>181158000</v>
      </c>
      <c r="K442" s="23" t="n">
        <v>0</v>
      </c>
      <c r="L442" s="23" t="n">
        <v>65083000</v>
      </c>
      <c r="M442" s="23" t="n">
        <v>-36061000</v>
      </c>
      <c r="N442" s="23" t="n">
        <v>29022000</v>
      </c>
      <c r="O442" s="23" t="n">
        <v>77355000</v>
      </c>
      <c r="P442" s="23" t="n">
        <v>16035000</v>
      </c>
      <c r="Q442" s="23" t="n">
        <v>431338000</v>
      </c>
      <c r="R442" s="23" t="n">
        <v>681582000</v>
      </c>
      <c r="S442" s="4" t="n">
        <v>138.870967741936</v>
      </c>
    </row>
    <row r="443" customFormat="false" ht="15" hidden="false" customHeight="false" outlineLevel="0" collapsed="false">
      <c r="A443" s="4" t="s">
        <v>442</v>
      </c>
      <c r="B443" s="4" t="n">
        <v>2024</v>
      </c>
      <c r="C443" s="4" t="s">
        <v>647</v>
      </c>
      <c r="D443" s="23" t="n">
        <v>192970000</v>
      </c>
      <c r="E443" s="23" t="n">
        <v>119431000</v>
      </c>
      <c r="F443" s="23" t="n">
        <v>-37058000</v>
      </c>
      <c r="G443" s="23" t="n">
        <v>-22522000</v>
      </c>
      <c r="H443" s="23" t="n">
        <v>-28369000</v>
      </c>
      <c r="I443" s="4" t="n">
        <v>-0.18</v>
      </c>
      <c r="J443" s="23" t="n">
        <v>155091000</v>
      </c>
      <c r="K443" s="23" t="n">
        <v>0</v>
      </c>
      <c r="L443" s="23" t="n">
        <v>32737000</v>
      </c>
      <c r="M443" s="23" t="n">
        <v>-15652000</v>
      </c>
      <c r="N443" s="23" t="n">
        <v>17085000</v>
      </c>
      <c r="O443" s="23" t="n">
        <v>39022000</v>
      </c>
      <c r="P443" s="23" t="n">
        <v>13874000</v>
      </c>
      <c r="Q443" s="23" t="n">
        <v>410003000</v>
      </c>
      <c r="R443" s="23" t="n">
        <v>540198000</v>
      </c>
      <c r="S443" s="4" t="n">
        <v>-99.2777777777778</v>
      </c>
    </row>
    <row r="444" customFormat="false" ht="15" hidden="false" customHeight="false" outlineLevel="0" collapsed="false">
      <c r="A444" s="4" t="s">
        <v>442</v>
      </c>
      <c r="B444" s="4" t="n">
        <v>2023</v>
      </c>
      <c r="C444" s="4" t="s">
        <v>648</v>
      </c>
      <c r="D444" s="23" t="n">
        <v>184194000</v>
      </c>
      <c r="E444" s="23" t="n">
        <v>106194000</v>
      </c>
      <c r="F444" s="23" t="n">
        <v>-21235000</v>
      </c>
      <c r="G444" s="23" t="n">
        <v>-9314000</v>
      </c>
      <c r="H444" s="23" t="n">
        <v>-16547000</v>
      </c>
      <c r="I444" s="4" t="n">
        <v>-0.11</v>
      </c>
      <c r="J444" s="23" t="n">
        <v>146556000</v>
      </c>
      <c r="K444" s="23" t="n">
        <v>0</v>
      </c>
      <c r="L444" s="23" t="n">
        <v>-24615000</v>
      </c>
      <c r="M444" s="23" t="n">
        <v>-21713000</v>
      </c>
      <c r="N444" s="23" t="n">
        <v>-46328000</v>
      </c>
      <c r="O444" s="23" t="n">
        <v>23516000</v>
      </c>
      <c r="P444" s="23" t="n">
        <v>15499000</v>
      </c>
      <c r="Q444" s="23" t="n">
        <v>217811000</v>
      </c>
      <c r="R444" s="23" t="n">
        <v>347635000</v>
      </c>
      <c r="S444" s="4" t="n">
        <v>-74</v>
      </c>
    </row>
    <row r="445" customFormat="false" ht="15" hidden="false" customHeight="false" outlineLevel="0" collapsed="false">
      <c r="A445" s="4" t="s">
        <v>442</v>
      </c>
      <c r="B445" s="4" t="n">
        <v>2022</v>
      </c>
      <c r="C445" s="4" t="s">
        <v>649</v>
      </c>
      <c r="D445" s="23" t="n">
        <v>106477000</v>
      </c>
      <c r="E445" s="23" t="n">
        <v>64015000</v>
      </c>
      <c r="F445" s="23" t="n">
        <v>-21968000</v>
      </c>
      <c r="G445" s="23" t="n">
        <v>-14041000</v>
      </c>
      <c r="H445" s="23" t="n">
        <v>-22176000</v>
      </c>
      <c r="I445" s="4" t="n">
        <v>-0.15</v>
      </c>
      <c r="J445" s="23" t="n">
        <v>145012032</v>
      </c>
      <c r="K445" s="23" t="n">
        <v>0</v>
      </c>
      <c r="L445" s="23" t="n">
        <v>-30832000</v>
      </c>
      <c r="M445" s="23" t="n">
        <v>-17580000</v>
      </c>
      <c r="N445" s="23" t="n">
        <v>-48412000</v>
      </c>
      <c r="O445" s="23" t="n">
        <v>9188000</v>
      </c>
      <c r="P445" s="23" t="n">
        <v>17188000</v>
      </c>
      <c r="Q445" s="23" t="n">
        <v>259322000</v>
      </c>
      <c r="R445" s="23" t="n">
        <v>334163000</v>
      </c>
      <c r="S445" s="4" t="n">
        <v>-69</v>
      </c>
    </row>
    <row r="446" customFormat="false" ht="15" hidden="false" customHeight="false" outlineLevel="0" collapsed="false">
      <c r="A446" s="4" t="s">
        <v>448</v>
      </c>
      <c r="B446" s="4" t="n">
        <v>2026</v>
      </c>
      <c r="C446" s="4" t="s">
        <v>165</v>
      </c>
      <c r="D446" s="23" t="n">
        <v>4812005000</v>
      </c>
      <c r="E446" s="23" t="n">
        <v>3593076000</v>
      </c>
      <c r="F446" s="23" t="n">
        <v>-293292000</v>
      </c>
      <c r="G446" s="23" t="n">
        <v>182483000</v>
      </c>
      <c r="H446" s="23" t="n">
        <v>-162502000</v>
      </c>
      <c r="I446" s="4" t="n">
        <v>-0.16</v>
      </c>
      <c r="J446" s="23" t="n">
        <v>1032532000</v>
      </c>
      <c r="K446" s="23" t="n">
        <v>28021000</v>
      </c>
      <c r="L446" s="23" t="n">
        <v>1612349000</v>
      </c>
      <c r="M446" s="23" t="n">
        <v>-302108000</v>
      </c>
      <c r="N446" s="23" t="n">
        <v>1310241000</v>
      </c>
      <c r="O446" s="23" t="n">
        <v>1096679000</v>
      </c>
      <c r="P446" s="23" t="n">
        <v>820077000</v>
      </c>
      <c r="Q446" s="23" t="n">
        <v>5230125000</v>
      </c>
      <c r="R446" s="23" t="n">
        <v>4472605000</v>
      </c>
      <c r="S446" s="4" t="n">
        <v>-689.6875</v>
      </c>
    </row>
    <row r="447" customFormat="false" ht="15" hidden="false" customHeight="false" outlineLevel="0" collapsed="false">
      <c r="A447" s="4" t="s">
        <v>448</v>
      </c>
      <c r="B447" s="4" t="n">
        <v>2025</v>
      </c>
      <c r="C447" s="4" t="s">
        <v>584</v>
      </c>
      <c r="D447" s="23" t="n">
        <v>3953624000</v>
      </c>
      <c r="E447" s="23" t="n">
        <v>2962143000</v>
      </c>
      <c r="F447" s="23" t="n">
        <v>-120430000</v>
      </c>
      <c r="G447" s="23" t="n">
        <v>294801000</v>
      </c>
      <c r="H447" s="23" t="n">
        <v>-19271000</v>
      </c>
      <c r="I447" s="4" t="n">
        <v>-0.019675</v>
      </c>
      <c r="J447" s="23" t="n">
        <v>979000000</v>
      </c>
      <c r="K447" s="23" t="n">
        <v>26311000</v>
      </c>
      <c r="L447" s="23" t="n">
        <v>1381727000</v>
      </c>
      <c r="M447" s="23" t="n">
        <v>-313821000</v>
      </c>
      <c r="N447" s="23" t="n">
        <v>1067906000</v>
      </c>
      <c r="O447" s="23" t="n">
        <v>865421000</v>
      </c>
      <c r="P447" s="23" t="n">
        <v>788901000</v>
      </c>
      <c r="Q447" s="23" t="n">
        <v>4323295000</v>
      </c>
      <c r="R447" s="23" t="n">
        <v>3318917000</v>
      </c>
      <c r="S447" s="4" t="n">
        <v>-5058.1956797967</v>
      </c>
    </row>
    <row r="448" customFormat="false" ht="15" hidden="false" customHeight="false" outlineLevel="0" collapsed="false">
      <c r="A448" s="4" t="s">
        <v>448</v>
      </c>
      <c r="B448" s="4" t="n">
        <v>2024</v>
      </c>
      <c r="C448" s="4" t="s">
        <v>585</v>
      </c>
      <c r="D448" s="23" t="n">
        <v>3055555000</v>
      </c>
      <c r="E448" s="23" t="n">
        <v>2299832000</v>
      </c>
      <c r="F448" s="23" t="n">
        <v>-1995000</v>
      </c>
      <c r="G448" s="23" t="n">
        <v>293827000</v>
      </c>
      <c r="H448" s="23" t="n">
        <v>89327000</v>
      </c>
      <c r="I448" s="4" t="n">
        <v>0.0925</v>
      </c>
      <c r="J448" s="23" t="n">
        <v>974540000</v>
      </c>
      <c r="K448" s="23" t="n">
        <v>25756000</v>
      </c>
      <c r="L448" s="23" t="n">
        <v>1166207000</v>
      </c>
      <c r="M448" s="23" t="n">
        <v>-237112000</v>
      </c>
      <c r="N448" s="23" t="n">
        <v>929095000</v>
      </c>
      <c r="O448" s="23" t="n">
        <v>631519000</v>
      </c>
      <c r="P448" s="23" t="n">
        <v>792874000</v>
      </c>
      <c r="Q448" s="23" t="n">
        <v>3474660000</v>
      </c>
      <c r="R448" s="23" t="n">
        <v>2337089000</v>
      </c>
      <c r="S448" s="4" t="n">
        <v>790.594594594595</v>
      </c>
    </row>
    <row r="449" customFormat="false" ht="15" hidden="false" customHeight="false" outlineLevel="0" collapsed="false">
      <c r="A449" s="4" t="s">
        <v>448</v>
      </c>
      <c r="B449" s="4" t="n">
        <v>2023</v>
      </c>
      <c r="C449" s="4" t="s">
        <v>586</v>
      </c>
      <c r="D449" s="23" t="n">
        <v>2241236000</v>
      </c>
      <c r="E449" s="23" t="n">
        <v>1640005000</v>
      </c>
      <c r="F449" s="23" t="n">
        <v>-190112000</v>
      </c>
      <c r="G449" s="23" t="n">
        <v>-40754000</v>
      </c>
      <c r="H449" s="23" t="n">
        <v>-183245000</v>
      </c>
      <c r="I449" s="4" t="n">
        <v>-0.195</v>
      </c>
      <c r="J449" s="23" t="n">
        <v>932556000</v>
      </c>
      <c r="K449" s="23" t="n">
        <v>25319000</v>
      </c>
      <c r="L449" s="23" t="n">
        <v>941007000</v>
      </c>
      <c r="M449" s="23" t="n">
        <v>-266437000</v>
      </c>
      <c r="N449" s="23" t="n">
        <v>674570000</v>
      </c>
      <c r="O449" s="23" t="n">
        <v>526504000</v>
      </c>
      <c r="P449" s="23" t="n">
        <v>783618000</v>
      </c>
      <c r="Q449" s="23" t="n">
        <v>2705369000</v>
      </c>
      <c r="R449" s="23" t="n">
        <v>1487434000</v>
      </c>
      <c r="S449" s="4" t="n">
        <v>-135.794871794872</v>
      </c>
    </row>
    <row r="450" customFormat="false" ht="15" hidden="false" customHeight="false" outlineLevel="0" collapsed="false">
      <c r="A450" s="4" t="s">
        <v>448</v>
      </c>
      <c r="B450" s="4" t="n">
        <v>2022</v>
      </c>
      <c r="C450" s="4" t="s">
        <v>587</v>
      </c>
      <c r="D450" s="23" t="n">
        <v>1451594000</v>
      </c>
      <c r="E450" s="23" t="n">
        <v>1068373000</v>
      </c>
      <c r="F450" s="23" t="n">
        <v>-142548000</v>
      </c>
      <c r="G450" s="23" t="n">
        <v>-65982000</v>
      </c>
      <c r="H450" s="23" t="n">
        <v>-234802000</v>
      </c>
      <c r="I450" s="4" t="n">
        <v>-0.255</v>
      </c>
      <c r="J450" s="23" t="n">
        <v>908568000</v>
      </c>
      <c r="K450" s="23" t="n">
        <v>25231000</v>
      </c>
      <c r="L450" s="23" t="n">
        <v>574784000</v>
      </c>
      <c r="M450" s="23" t="n">
        <v>-133689000</v>
      </c>
      <c r="N450" s="23" t="n">
        <v>441095000</v>
      </c>
      <c r="O450" s="23" t="n">
        <v>309952000</v>
      </c>
      <c r="P450" s="23" t="n">
        <v>774716000</v>
      </c>
      <c r="Q450" s="23" t="n">
        <v>1996633000</v>
      </c>
      <c r="R450" s="23" t="n">
        <v>1037643000</v>
      </c>
      <c r="S450" s="4" t="n">
        <v>-177.098039215686</v>
      </c>
    </row>
    <row r="451" customFormat="false" ht="15" hidden="false" customHeight="false" outlineLevel="0" collapsed="false">
      <c r="A451" s="4" t="s">
        <v>451</v>
      </c>
      <c r="B451" s="4" t="n">
        <v>2025</v>
      </c>
      <c r="C451" s="4" t="s">
        <v>103</v>
      </c>
      <c r="D451" s="23" t="n">
        <v>184432000000</v>
      </c>
      <c r="E451" s="23" t="n">
        <v>56086000000</v>
      </c>
      <c r="F451" s="23" t="n">
        <v>16674000000</v>
      </c>
      <c r="G451" s="23" t="n">
        <v>41092000000</v>
      </c>
      <c r="H451" s="23" t="n">
        <v>12299000000</v>
      </c>
      <c r="I451" s="4" t="n">
        <v>6.63</v>
      </c>
      <c r="J451" s="23" t="n">
        <v>1856000000</v>
      </c>
      <c r="K451" s="23" t="n">
        <v>1217000000</v>
      </c>
      <c r="L451" s="23" t="n">
        <v>33939000000</v>
      </c>
      <c r="M451" s="23" t="n">
        <v>-17347000000</v>
      </c>
      <c r="N451" s="23" t="n">
        <v>16592000000</v>
      </c>
      <c r="O451" s="23" t="n">
        <v>0</v>
      </c>
      <c r="P451" s="23" t="n">
        <v>40758000000</v>
      </c>
      <c r="Q451" s="23" t="n">
        <v>6297000000</v>
      </c>
      <c r="R451" s="23" t="n">
        <v>192176000000</v>
      </c>
      <c r="S451" s="4" t="n">
        <v>22.9187969924812</v>
      </c>
    </row>
    <row r="452" customFormat="false" ht="15" hidden="false" customHeight="false" outlineLevel="0" collapsed="false">
      <c r="A452" s="4" t="s">
        <v>451</v>
      </c>
      <c r="B452" s="4" t="n">
        <v>2024</v>
      </c>
      <c r="C452" s="4" t="s">
        <v>572</v>
      </c>
      <c r="D452" s="23" t="n">
        <v>193414000000</v>
      </c>
      <c r="E452" s="23" t="n">
        <v>56926000000</v>
      </c>
      <c r="F452" s="23" t="n">
        <v>29099000000</v>
      </c>
      <c r="G452" s="23" t="n">
        <v>45382000000</v>
      </c>
      <c r="H452" s="23" t="n">
        <v>17661000000</v>
      </c>
      <c r="I452" s="4" t="n">
        <v>9.72</v>
      </c>
      <c r="J452" s="23" t="n">
        <v>1816602000</v>
      </c>
      <c r="K452" s="23" t="n">
        <v>594000000</v>
      </c>
      <c r="L452" s="23" t="n">
        <v>31492000000</v>
      </c>
      <c r="M452" s="23" t="n">
        <v>-16448000000</v>
      </c>
      <c r="N452" s="23" t="n">
        <v>15044000000</v>
      </c>
      <c r="O452" s="23" t="n">
        <v>0</v>
      </c>
      <c r="P452" s="23" t="n">
        <v>24541000000</v>
      </c>
      <c r="Q452" s="23" t="n">
        <v>6785000000</v>
      </c>
      <c r="R452" s="23" t="n">
        <v>153157000000</v>
      </c>
      <c r="S452" s="4" t="n">
        <v>14.8401639344262</v>
      </c>
    </row>
    <row r="453" customFormat="false" ht="15" hidden="false" customHeight="false" outlineLevel="0" collapsed="false">
      <c r="A453" s="4" t="s">
        <v>451</v>
      </c>
      <c r="B453" s="4" t="n">
        <v>2023</v>
      </c>
      <c r="C453" s="4" t="s">
        <v>573</v>
      </c>
      <c r="D453" s="23" t="n">
        <v>196913000000</v>
      </c>
      <c r="E453" s="23" t="n">
        <v>60391000000</v>
      </c>
      <c r="F453" s="23" t="n">
        <v>33790000000</v>
      </c>
      <c r="G453" s="23" t="n">
        <v>47379000000</v>
      </c>
      <c r="H453" s="23" t="n">
        <v>21369000000</v>
      </c>
      <c r="I453" s="4" t="n">
        <v>11.36</v>
      </c>
      <c r="J453" s="23" t="n">
        <v>1880307000</v>
      </c>
      <c r="K453" s="23" t="n">
        <v>469000000</v>
      </c>
      <c r="L453" s="23" t="n">
        <v>35609000000</v>
      </c>
      <c r="M453" s="23" t="n">
        <v>-15829000000</v>
      </c>
      <c r="N453" s="23" t="n">
        <v>19780000000</v>
      </c>
      <c r="O453" s="23" t="n">
        <v>0</v>
      </c>
      <c r="P453" s="23" t="n">
        <v>20836000000</v>
      </c>
      <c r="Q453" s="23" t="n">
        <v>8223000000</v>
      </c>
      <c r="R453" s="23" t="n">
        <v>161929000000</v>
      </c>
      <c r="S453" s="4" t="n">
        <v>13.0727432077125</v>
      </c>
    </row>
    <row r="454" customFormat="false" ht="15" hidden="false" customHeight="false" outlineLevel="0" collapsed="false">
      <c r="A454" s="4" t="s">
        <v>451</v>
      </c>
      <c r="B454" s="4" t="n">
        <v>2022</v>
      </c>
      <c r="C454" s="4" t="s">
        <v>574</v>
      </c>
      <c r="D454" s="23" t="n">
        <v>235717000000</v>
      </c>
      <c r="E454" s="23" t="n">
        <v>65587000000</v>
      </c>
      <c r="F454" s="23" t="n">
        <v>39950000000</v>
      </c>
      <c r="G454" s="23" t="n">
        <v>66509000000</v>
      </c>
      <c r="H454" s="23" t="n">
        <v>35465000000</v>
      </c>
      <c r="I454" s="4" t="n">
        <v>18.28</v>
      </c>
      <c r="J454" s="23" t="n">
        <v>1940277000</v>
      </c>
      <c r="K454" s="23" t="n">
        <v>516000000</v>
      </c>
      <c r="L454" s="23" t="n">
        <v>49602000000</v>
      </c>
      <c r="M454" s="23" t="n">
        <v>-11974000000</v>
      </c>
      <c r="N454" s="23" t="n">
        <v>37628000000</v>
      </c>
      <c r="O454" s="23" t="n">
        <v>1073000000</v>
      </c>
      <c r="P454" s="23" t="n">
        <v>23339000000</v>
      </c>
      <c r="Q454" s="23" t="n">
        <v>17901000000</v>
      </c>
      <c r="R454" s="23" t="n">
        <v>160242000000</v>
      </c>
      <c r="S454" s="4" t="n">
        <v>9.77614379084968</v>
      </c>
    </row>
    <row r="455" customFormat="false" ht="15" hidden="false" customHeight="false" outlineLevel="0" collapsed="false">
      <c r="A455" s="4" t="s">
        <v>451</v>
      </c>
      <c r="B455" s="4" t="n">
        <v>2021</v>
      </c>
      <c r="C455" s="4" t="s">
        <v>575</v>
      </c>
      <c r="D455" s="23" t="n">
        <v>155606000000</v>
      </c>
      <c r="E455" s="23" t="n">
        <v>45432000000</v>
      </c>
      <c r="F455" s="23" t="n">
        <v>16104000000</v>
      </c>
      <c r="G455" s="23" t="n">
        <v>40276000000</v>
      </c>
      <c r="H455" s="23" t="n">
        <v>15625000000</v>
      </c>
      <c r="I455" s="4" t="n">
        <v>8.14</v>
      </c>
      <c r="J455" s="23" t="n">
        <v>1920275000</v>
      </c>
      <c r="K455" s="23" t="n">
        <v>712000000</v>
      </c>
      <c r="L455" s="23" t="n">
        <v>29187000000</v>
      </c>
      <c r="M455" s="23" t="n">
        <v>-8100000000</v>
      </c>
      <c r="N455" s="23" t="n">
        <v>21087000000</v>
      </c>
      <c r="O455" s="23" t="n">
        <v>0</v>
      </c>
      <c r="P455" s="23" t="n">
        <v>31369000000</v>
      </c>
      <c r="Q455" s="23" t="n">
        <v>5675000000</v>
      </c>
      <c r="R455" s="23" t="n">
        <v>139940000000</v>
      </c>
      <c r="S455" s="4" t="n">
        <v>14.398773006135</v>
      </c>
    </row>
    <row r="456" customFormat="false" ht="15" hidden="false" customHeight="false" outlineLevel="0" collapsed="false">
      <c r="A456" s="4" t="s">
        <v>454</v>
      </c>
      <c r="B456" s="4" t="n">
        <v>2025</v>
      </c>
      <c r="C456" s="4" t="s">
        <v>103</v>
      </c>
      <c r="D456" s="23" t="n">
        <v>3427158000</v>
      </c>
      <c r="E456" s="23" t="n">
        <v>2740201000</v>
      </c>
      <c r="F456" s="23" t="n">
        <v>-44373000</v>
      </c>
      <c r="G456" s="23" t="n">
        <v>193836000</v>
      </c>
      <c r="H456" s="23" t="n">
        <v>107741000</v>
      </c>
      <c r="I456" s="4" t="n">
        <v>0.3</v>
      </c>
      <c r="J456" s="23" t="n">
        <v>363471000</v>
      </c>
      <c r="K456" s="23" t="n">
        <v>11059000</v>
      </c>
      <c r="L456" s="23" t="n">
        <v>1050135000</v>
      </c>
      <c r="M456" s="23" t="n">
        <v>-49578000</v>
      </c>
      <c r="N456" s="23" t="n">
        <v>1000557000</v>
      </c>
      <c r="O456" s="23" t="n">
        <v>750671000</v>
      </c>
      <c r="P456" s="23" t="n">
        <v>1535192000</v>
      </c>
      <c r="Q456" s="23" t="n">
        <v>4474836000</v>
      </c>
      <c r="R456" s="23" t="n">
        <v>3732206000</v>
      </c>
      <c r="S456" s="4" t="n">
        <v>438.677419354839</v>
      </c>
    </row>
    <row r="457" customFormat="false" ht="15" hidden="false" customHeight="false" outlineLevel="0" collapsed="false">
      <c r="A457" s="4" t="s">
        <v>454</v>
      </c>
      <c r="B457" s="4" t="n">
        <v>2024</v>
      </c>
      <c r="C457" s="4" t="s">
        <v>572</v>
      </c>
      <c r="D457" s="23" t="n">
        <v>2684275000</v>
      </c>
      <c r="E457" s="23" t="n">
        <v>2168744000</v>
      </c>
      <c r="F457" s="23" t="n">
        <v>54284000</v>
      </c>
      <c r="G457" s="23" t="n">
        <v>265941000</v>
      </c>
      <c r="H457" s="23" t="n">
        <v>183746000</v>
      </c>
      <c r="I457" s="4" t="n">
        <v>0.51</v>
      </c>
      <c r="J457" s="23" t="n">
        <v>358636000</v>
      </c>
      <c r="K457" s="23" t="n">
        <v>7068000</v>
      </c>
      <c r="L457" s="23" t="n">
        <v>870603000</v>
      </c>
      <c r="M457" s="23" t="n">
        <v>-34719000</v>
      </c>
      <c r="N457" s="23" t="n">
        <v>835884000</v>
      </c>
      <c r="O457" s="23" t="n">
        <v>570336000</v>
      </c>
      <c r="P457" s="23" t="n">
        <v>1842180000</v>
      </c>
      <c r="Q457" s="23" t="n">
        <v>4189059000</v>
      </c>
      <c r="R457" s="23" t="n">
        <v>2714363000</v>
      </c>
      <c r="S457" s="4" t="n">
        <v>259.8</v>
      </c>
    </row>
    <row r="458" customFormat="false" ht="15" hidden="false" customHeight="false" outlineLevel="0" collapsed="false">
      <c r="A458" s="4" t="s">
        <v>454</v>
      </c>
      <c r="B458" s="4" t="n">
        <v>2023</v>
      </c>
      <c r="C458" s="4" t="s">
        <v>573</v>
      </c>
      <c r="D458" s="23" t="n">
        <v>2128359000</v>
      </c>
      <c r="E458" s="23" t="n">
        <v>1718451000</v>
      </c>
      <c r="F458" s="23" t="n">
        <v>-33464000</v>
      </c>
      <c r="G458" s="23" t="n">
        <v>111002000</v>
      </c>
      <c r="H458" s="23" t="n">
        <v>48568000</v>
      </c>
      <c r="I458" s="4" t="n">
        <v>0.14</v>
      </c>
      <c r="J458" s="23" t="n">
        <v>350292000</v>
      </c>
      <c r="K458" s="23" t="n">
        <v>6302000</v>
      </c>
      <c r="L458" s="23" t="n">
        <v>659954000</v>
      </c>
      <c r="M458" s="23" t="n">
        <v>-27586000</v>
      </c>
      <c r="N458" s="23" t="n">
        <v>632367999</v>
      </c>
      <c r="O458" s="23" t="n">
        <v>482300000</v>
      </c>
      <c r="P458" s="23" t="n">
        <v>902337000</v>
      </c>
      <c r="Q458" s="23" t="n">
        <v>2582898000</v>
      </c>
      <c r="R458" s="23" t="n">
        <v>2025354000</v>
      </c>
      <c r="S458" s="4" t="n">
        <v>809.2</v>
      </c>
    </row>
    <row r="459" customFormat="false" ht="15" hidden="false" customHeight="false" outlineLevel="0" collapsed="false">
      <c r="A459" s="4" t="s">
        <v>454</v>
      </c>
      <c r="B459" s="4" t="n">
        <v>2022</v>
      </c>
      <c r="C459" s="4" t="s">
        <v>574</v>
      </c>
      <c r="D459" s="23" t="n">
        <v>1675100000</v>
      </c>
      <c r="E459" s="23" t="n">
        <v>1328357000</v>
      </c>
      <c r="F459" s="23" t="n">
        <v>-58695000</v>
      </c>
      <c r="G459" s="23" t="n">
        <v>13094000</v>
      </c>
      <c r="H459" s="23" t="n">
        <v>-50160000</v>
      </c>
      <c r="I459" s="4" t="n">
        <v>-0.16</v>
      </c>
      <c r="J459" s="23" t="n">
        <v>315410000</v>
      </c>
      <c r="K459" s="23" t="n">
        <v>16535000</v>
      </c>
      <c r="L459" s="23" t="n">
        <v>418407000</v>
      </c>
      <c r="M459" s="23" t="n">
        <v>-64889000</v>
      </c>
      <c r="N459" s="23" t="n">
        <v>353518000</v>
      </c>
      <c r="O459" s="23" t="n">
        <v>363154000</v>
      </c>
      <c r="P459" s="23" t="n">
        <v>837521000</v>
      </c>
      <c r="Q459" s="23" t="n">
        <v>1884326000</v>
      </c>
      <c r="R459" s="23" t="n">
        <v>1410505000</v>
      </c>
      <c r="S459" s="4" t="n">
        <v>-459.375</v>
      </c>
    </row>
    <row r="460" customFormat="false" ht="15" hidden="false" customHeight="false" outlineLevel="0" collapsed="false">
      <c r="A460" s="4" t="s">
        <v>454</v>
      </c>
      <c r="B460" s="4" t="n">
        <v>2021</v>
      </c>
      <c r="C460" s="4" t="s">
        <v>575</v>
      </c>
      <c r="D460" s="23" t="n">
        <v>1028784000</v>
      </c>
      <c r="E460" s="23" t="n">
        <v>794539000</v>
      </c>
      <c r="F460" s="23" t="n">
        <v>-19156000</v>
      </c>
      <c r="G460" s="23" t="n">
        <v>25568000</v>
      </c>
      <c r="H460" s="23" t="n">
        <v>-20745000</v>
      </c>
      <c r="I460" s="4" t="n">
        <v>-0.0671</v>
      </c>
      <c r="J460" s="23" t="n">
        <v>309048000</v>
      </c>
      <c r="K460" s="23" t="n">
        <v>21052000</v>
      </c>
      <c r="L460" s="23" t="n">
        <v>286545000</v>
      </c>
      <c r="M460" s="23" t="n">
        <v>-36025000</v>
      </c>
      <c r="N460" s="23" t="n">
        <v>250520000</v>
      </c>
      <c r="O460" s="23" t="n">
        <v>163737000</v>
      </c>
      <c r="P460" s="23" t="n">
        <v>807745000</v>
      </c>
      <c r="Q460" s="23" t="n">
        <v>1554446000</v>
      </c>
      <c r="R460" s="23" t="n">
        <v>1041203000</v>
      </c>
      <c r="S460" s="4" t="n">
        <v>-2654.39642324888</v>
      </c>
    </row>
    <row r="461" customFormat="false" ht="15" hidden="false" customHeight="false" outlineLevel="0" collapsed="false">
      <c r="A461" s="4" t="s">
        <v>457</v>
      </c>
      <c r="B461" s="4" t="n">
        <v>2025</v>
      </c>
      <c r="C461" s="4" t="s">
        <v>316</v>
      </c>
      <c r="D461" s="23" t="n">
        <v>44665000000</v>
      </c>
      <c r="E461" s="23" t="n">
        <v>16295000000</v>
      </c>
      <c r="F461" s="23" t="n">
        <v>8416000000</v>
      </c>
      <c r="G461" s="23" t="n">
        <v>11656000000</v>
      </c>
      <c r="H461" s="23" t="n">
        <v>5027000000</v>
      </c>
      <c r="I461" s="4" t="n">
        <v>18.5</v>
      </c>
      <c r="J461" s="23" t="n">
        <v>271700000</v>
      </c>
      <c r="K461" s="23" t="n">
        <v>3170000000</v>
      </c>
      <c r="L461" s="23" t="n">
        <v>7459000000</v>
      </c>
      <c r="M461" s="23" t="n">
        <v>-4228000000</v>
      </c>
      <c r="N461" s="23" t="n">
        <v>3231000000</v>
      </c>
      <c r="O461" s="23" t="n">
        <v>151000000</v>
      </c>
      <c r="P461" s="23" t="n">
        <v>63936000000</v>
      </c>
      <c r="Q461" s="23" t="n">
        <v>9687000000</v>
      </c>
      <c r="R461" s="23" t="n">
        <v>26007000000</v>
      </c>
      <c r="S461" s="4" t="n">
        <v>24.8890086206897</v>
      </c>
    </row>
    <row r="462" customFormat="false" ht="15" hidden="false" customHeight="false" outlineLevel="0" collapsed="false">
      <c r="A462" s="4" t="s">
        <v>457</v>
      </c>
      <c r="B462" s="4" t="n">
        <v>2024</v>
      </c>
      <c r="C462" s="4" t="s">
        <v>650</v>
      </c>
      <c r="D462" s="23" t="n">
        <v>50518000000</v>
      </c>
      <c r="E462" s="23" t="n">
        <v>19495000000</v>
      </c>
      <c r="F462" s="23" t="n">
        <v>11427000000</v>
      </c>
      <c r="G462" s="23" t="n">
        <v>14672000000</v>
      </c>
      <c r="H462" s="23" t="n">
        <v>7100000000</v>
      </c>
      <c r="I462" s="4" t="n">
        <v>25.62</v>
      </c>
      <c r="J462" s="23" t="n">
        <v>277100000</v>
      </c>
      <c r="K462" s="23" t="n">
        <v>3348000000</v>
      </c>
      <c r="L462" s="23" t="n">
        <v>9231000000</v>
      </c>
      <c r="M462" s="23" t="n">
        <v>-4802000000</v>
      </c>
      <c r="N462" s="23" t="n">
        <v>4429000000</v>
      </c>
      <c r="O462" s="23" t="n">
        <v>208000000</v>
      </c>
      <c r="P462" s="23" t="n">
        <v>65463000000</v>
      </c>
      <c r="Q462" s="23" t="n">
        <v>8478000000</v>
      </c>
      <c r="R462" s="23" t="n">
        <v>22925000000</v>
      </c>
      <c r="S462" s="4" t="n">
        <v>16.0322706065319</v>
      </c>
    </row>
    <row r="463" customFormat="false" ht="15" hidden="false" customHeight="false" outlineLevel="0" collapsed="false">
      <c r="A463" s="4" t="s">
        <v>457</v>
      </c>
      <c r="B463" s="4" t="n">
        <v>2023</v>
      </c>
      <c r="C463" s="4" t="s">
        <v>625</v>
      </c>
      <c r="D463" s="23" t="n">
        <v>60248000000</v>
      </c>
      <c r="E463" s="23" t="n">
        <v>22306000000</v>
      </c>
      <c r="F463" s="23" t="n">
        <v>14591000000</v>
      </c>
      <c r="G463" s="23" t="n">
        <v>17476000000</v>
      </c>
      <c r="H463" s="23" t="n">
        <v>10166000000</v>
      </c>
      <c r="I463" s="4" t="n">
        <v>34.63</v>
      </c>
      <c r="J463" s="23" t="n">
        <v>293600000</v>
      </c>
      <c r="K463" s="23" t="n">
        <v>2453000000</v>
      </c>
      <c r="L463" s="23" t="n">
        <v>8589000000</v>
      </c>
      <c r="M463" s="23" t="n">
        <v>-4468000000</v>
      </c>
      <c r="N463" s="23" t="n">
        <v>4121000000</v>
      </c>
      <c r="O463" s="23" t="n">
        <v>130000000</v>
      </c>
      <c r="P463" s="23" t="n">
        <v>63692000000</v>
      </c>
      <c r="Q463" s="23" t="n">
        <v>8404000000</v>
      </c>
      <c r="R463" s="23" t="n">
        <v>21886000000</v>
      </c>
      <c r="S463" s="4" t="n">
        <v>10.5689655172414</v>
      </c>
    </row>
    <row r="464" customFormat="false" ht="15" hidden="false" customHeight="false" outlineLevel="0" collapsed="false">
      <c r="A464" s="4" t="s">
        <v>457</v>
      </c>
      <c r="B464" s="4" t="n">
        <v>2022</v>
      </c>
      <c r="C464" s="4" t="s">
        <v>626</v>
      </c>
      <c r="D464" s="23" t="n">
        <v>51282000000</v>
      </c>
      <c r="E464" s="23" t="n">
        <v>15730000000</v>
      </c>
      <c r="F464" s="23" t="n">
        <v>9026000000</v>
      </c>
      <c r="G464" s="23" t="n">
        <v>12084000000</v>
      </c>
      <c r="H464" s="23" t="n">
        <v>7131000000</v>
      </c>
      <c r="I464" s="4" t="n">
        <v>23.28</v>
      </c>
      <c r="J464" s="23" t="n">
        <v>306300000</v>
      </c>
      <c r="K464" s="23" t="n">
        <v>1062000000</v>
      </c>
      <c r="L464" s="23" t="n">
        <v>4699000000</v>
      </c>
      <c r="M464" s="23" t="n">
        <v>-3788000000</v>
      </c>
      <c r="N464" s="23" t="n">
        <v>911000000</v>
      </c>
      <c r="O464" s="23" t="n">
        <v>85000000</v>
      </c>
      <c r="P464" s="23" t="n">
        <v>52201000000</v>
      </c>
      <c r="Q464" s="23" t="n">
        <v>5508000000</v>
      </c>
      <c r="R464" s="23" t="n">
        <v>20357000000</v>
      </c>
      <c r="S464" s="4" t="n">
        <v>16.9009393680615</v>
      </c>
    </row>
    <row r="465" customFormat="false" ht="15" hidden="false" customHeight="false" outlineLevel="0" collapsed="false">
      <c r="A465" s="4" t="s">
        <v>457</v>
      </c>
      <c r="B465" s="4" t="n">
        <v>2021</v>
      </c>
      <c r="C465" s="4" t="s">
        <v>627</v>
      </c>
      <c r="D465" s="23" t="n">
        <v>43033000000</v>
      </c>
      <c r="E465" s="23" t="n">
        <v>13715000000</v>
      </c>
      <c r="F465" s="23" t="n">
        <v>7663000000</v>
      </c>
      <c r="G465" s="23" t="n">
        <v>10645000000</v>
      </c>
      <c r="H465" s="23" t="n">
        <v>5963000000</v>
      </c>
      <c r="I465" s="4" t="n">
        <v>18.99</v>
      </c>
      <c r="J465" s="23" t="n">
        <v>314000000</v>
      </c>
      <c r="K465" s="23" t="n">
        <v>993000000</v>
      </c>
      <c r="L465" s="23" t="n">
        <v>7726000000</v>
      </c>
      <c r="M465" s="23" t="n">
        <v>-2580000000</v>
      </c>
      <c r="N465" s="23" t="n">
        <v>5146000000</v>
      </c>
      <c r="O465" s="23" t="n">
        <v>82000000</v>
      </c>
      <c r="P465" s="23" t="n">
        <v>48731000000</v>
      </c>
      <c r="Q465" s="23" t="n">
        <v>8745000000</v>
      </c>
      <c r="R465" s="23" t="n">
        <v>18434000000</v>
      </c>
      <c r="S465" s="4" t="n">
        <v>18.7434691745037</v>
      </c>
    </row>
    <row r="466" customFormat="false" ht="15" hidden="false" customHeight="false" outlineLevel="0" collapsed="false">
      <c r="A466" s="4" t="s">
        <v>460</v>
      </c>
      <c r="B466" s="4" t="n">
        <v>2025</v>
      </c>
      <c r="C466" s="4" t="s">
        <v>103</v>
      </c>
      <c r="D466" s="23" t="n">
        <v>199125000000</v>
      </c>
      <c r="E466" s="23" t="n">
        <v>50902000000</v>
      </c>
      <c r="F466" s="23" t="n">
        <v>8112000000</v>
      </c>
      <c r="G466" s="23" t="n">
        <v>9658000000</v>
      </c>
      <c r="H466" s="23" t="n">
        <v>5662000000</v>
      </c>
      <c r="I466" s="4" t="n">
        <v>25.12</v>
      </c>
      <c r="J466" s="23" t="n">
        <v>221800000</v>
      </c>
      <c r="K466" s="23" t="n">
        <v>1402000000</v>
      </c>
      <c r="L466" s="23" t="n">
        <v>4290000000</v>
      </c>
      <c r="M466" s="23" t="n">
        <v>-1116000000</v>
      </c>
      <c r="N466" s="23" t="n">
        <v>3174000000</v>
      </c>
      <c r="O466" s="23" t="n">
        <v>276000000</v>
      </c>
      <c r="P466" s="23" t="n">
        <v>33235000000</v>
      </c>
      <c r="Q466" s="23" t="n">
        <v>9491000000</v>
      </c>
      <c r="R466" s="23" t="n">
        <v>44026000000</v>
      </c>
      <c r="S466" s="4" t="n">
        <v>13.9217633042097</v>
      </c>
    </row>
    <row r="467" customFormat="false" ht="15" hidden="false" customHeight="false" outlineLevel="0" collapsed="false">
      <c r="A467" s="4" t="s">
        <v>460</v>
      </c>
      <c r="B467" s="4" t="n">
        <v>2024</v>
      </c>
      <c r="C467" s="4" t="s">
        <v>572</v>
      </c>
      <c r="D467" s="23" t="n">
        <v>176810000000</v>
      </c>
      <c r="E467" s="23" t="n">
        <v>49243000000</v>
      </c>
      <c r="F467" s="23" t="n">
        <v>8888000000</v>
      </c>
      <c r="G467" s="23" t="n">
        <v>10482000000</v>
      </c>
      <c r="H467" s="23" t="n">
        <v>5980000000</v>
      </c>
      <c r="I467" s="4" t="n">
        <v>25.68</v>
      </c>
      <c r="J467" s="23" t="n">
        <v>232900000</v>
      </c>
      <c r="K467" s="23" t="n">
        <v>1185000000</v>
      </c>
      <c r="L467" s="23" t="n">
        <v>5808000000</v>
      </c>
      <c r="M467" s="23" t="n">
        <v>-1256000000</v>
      </c>
      <c r="N467" s="23" t="n">
        <v>4552000000</v>
      </c>
      <c r="O467" s="23" t="n">
        <v>191000000</v>
      </c>
      <c r="P467" s="23" t="n">
        <v>32701000000</v>
      </c>
      <c r="Q467" s="23" t="n">
        <v>8288000000</v>
      </c>
      <c r="R467" s="23" t="n">
        <v>41426000000</v>
      </c>
      <c r="S467" s="4" t="n">
        <v>14.2929097249128</v>
      </c>
    </row>
    <row r="468" customFormat="false" ht="15" hidden="false" customHeight="false" outlineLevel="0" collapsed="false">
      <c r="A468" s="4" t="s">
        <v>460</v>
      </c>
      <c r="B468" s="4" t="n">
        <v>2023</v>
      </c>
      <c r="C468" s="4" t="s">
        <v>573</v>
      </c>
      <c r="D468" s="23" t="n">
        <v>171340000000</v>
      </c>
      <c r="E468" s="23" t="n">
        <v>47010000000</v>
      </c>
      <c r="F468" s="23" t="n">
        <v>8745000000</v>
      </c>
      <c r="G468" s="23" t="n">
        <v>10490000000</v>
      </c>
      <c r="H468" s="23" t="n">
        <v>5987000000</v>
      </c>
      <c r="I468" s="4" t="n">
        <v>25.22</v>
      </c>
      <c r="J468" s="23" t="n">
        <v>237400000</v>
      </c>
      <c r="K468" s="23" t="n">
        <v>1030000000</v>
      </c>
      <c r="L468" s="23" t="n">
        <v>8061000000</v>
      </c>
      <c r="M468" s="23" t="n">
        <v>-1296000000</v>
      </c>
      <c r="N468" s="23" t="n">
        <v>6765000000</v>
      </c>
      <c r="O468" s="23" t="n">
        <v>289000000</v>
      </c>
      <c r="P468" s="23" t="n">
        <v>26654000000</v>
      </c>
      <c r="Q468" s="23" t="n">
        <v>6526000000</v>
      </c>
      <c r="R468" s="23" t="n">
        <v>39405000000</v>
      </c>
      <c r="S468" s="4" t="n">
        <v>18.5799842395587</v>
      </c>
    </row>
    <row r="469" customFormat="false" ht="15" hidden="false" customHeight="false" outlineLevel="0" collapsed="false">
      <c r="A469" s="4" t="s">
        <v>460</v>
      </c>
      <c r="B469" s="4" t="n">
        <v>2022</v>
      </c>
      <c r="C469" s="4" t="s">
        <v>574</v>
      </c>
      <c r="D469" s="23" t="n">
        <v>156595000000</v>
      </c>
      <c r="E469" s="23" t="n">
        <v>39953000000</v>
      </c>
      <c r="F469" s="23" t="n">
        <v>8451000000</v>
      </c>
      <c r="G469" s="23" t="n">
        <v>10126000000</v>
      </c>
      <c r="H469" s="23" t="n">
        <v>5894000000</v>
      </c>
      <c r="I469" s="4" t="n">
        <v>24.28</v>
      </c>
      <c r="J469" s="23" t="n">
        <v>242800000</v>
      </c>
      <c r="K469" s="23" t="n">
        <v>851000000</v>
      </c>
      <c r="L469" s="23" t="n">
        <v>8399000000</v>
      </c>
      <c r="M469" s="23" t="n">
        <v>-1152000000</v>
      </c>
      <c r="N469" s="23" t="n">
        <v>7247000000</v>
      </c>
      <c r="O469" s="23" t="n">
        <v>264000000</v>
      </c>
      <c r="P469" s="23" t="n">
        <v>25797000000</v>
      </c>
      <c r="Q469" s="23" t="n">
        <v>7387000000</v>
      </c>
      <c r="R469" s="23" t="n">
        <v>36330000000</v>
      </c>
      <c r="S469" s="4" t="n">
        <v>20.8864006514658</v>
      </c>
    </row>
    <row r="470" customFormat="false" ht="15" hidden="false" customHeight="false" outlineLevel="0" collapsed="false">
      <c r="A470" s="4" t="s">
        <v>460</v>
      </c>
      <c r="B470" s="4" t="n">
        <v>2021</v>
      </c>
      <c r="C470" s="4" t="s">
        <v>575</v>
      </c>
      <c r="D470" s="23" t="n">
        <v>138639000000</v>
      </c>
      <c r="E470" s="23" t="n">
        <v>35994000000</v>
      </c>
      <c r="F470" s="23" t="n">
        <v>8946000000</v>
      </c>
      <c r="G470" s="23" t="n">
        <v>10025000000</v>
      </c>
      <c r="H470" s="23" t="n">
        <v>6104000000</v>
      </c>
      <c r="I470" s="4" t="n">
        <v>24.73</v>
      </c>
      <c r="J470" s="23" t="n">
        <v>246800000</v>
      </c>
      <c r="K470" s="23" t="n">
        <v>798000000</v>
      </c>
      <c r="L470" s="23" t="n">
        <v>8364000000</v>
      </c>
      <c r="M470" s="23" t="n">
        <v>-1087000000</v>
      </c>
      <c r="N470" s="23" t="n">
        <v>7277000000</v>
      </c>
      <c r="O470" s="23" t="n">
        <v>255000000</v>
      </c>
      <c r="P470" s="23" t="n">
        <v>24892000000</v>
      </c>
      <c r="Q470" s="23" t="n">
        <v>4880000000</v>
      </c>
      <c r="R470" s="23" t="n">
        <v>36128000000</v>
      </c>
      <c r="S470" s="4" t="n">
        <v>18.3580198019802</v>
      </c>
    </row>
    <row r="471" customFormat="false" ht="15" hidden="false" customHeight="false" outlineLevel="0" collapsed="false">
      <c r="A471" s="4" t="s">
        <v>464</v>
      </c>
      <c r="B471" s="4" t="n">
        <v>2025</v>
      </c>
      <c r="C471" s="4" t="s">
        <v>103</v>
      </c>
      <c r="D471" s="23" t="n">
        <v>21193000000</v>
      </c>
      <c r="E471" s="23" t="n">
        <v>0</v>
      </c>
      <c r="F471" s="23" t="n">
        <v>5818000000</v>
      </c>
      <c r="G471" s="23" t="n">
        <v>8918000000</v>
      </c>
      <c r="H471" s="23" t="n">
        <v>3480000000</v>
      </c>
      <c r="I471" s="4" t="n">
        <v>6.34</v>
      </c>
      <c r="J471" s="23" t="n">
        <v>549000000</v>
      </c>
      <c r="K471" s="23" t="n">
        <v>1493000000</v>
      </c>
      <c r="L471" s="23" t="n">
        <v>6062000000</v>
      </c>
      <c r="M471" s="23" t="n">
        <v>0</v>
      </c>
      <c r="N471" s="23" t="n">
        <v>6062000000</v>
      </c>
      <c r="O471" s="23" t="n">
        <v>357000000</v>
      </c>
      <c r="P471" s="23" t="n">
        <v>28997000000</v>
      </c>
      <c r="Q471" s="23" t="n">
        <v>798000000</v>
      </c>
      <c r="R471" s="23" t="n">
        <v>25826000000</v>
      </c>
      <c r="S471" s="4" t="n">
        <v>10.1356466876972</v>
      </c>
    </row>
    <row r="472" customFormat="false" ht="15" hidden="false" customHeight="false" outlineLevel="0" collapsed="false">
      <c r="A472" s="4" t="s">
        <v>464</v>
      </c>
      <c r="B472" s="4" t="n">
        <v>2024</v>
      </c>
      <c r="C472" s="4" t="s">
        <v>572</v>
      </c>
      <c r="D472" s="23" t="n">
        <v>20456000000</v>
      </c>
      <c r="E472" s="23" t="n">
        <v>12443000000</v>
      </c>
      <c r="F472" s="23" t="n">
        <v>5879000000</v>
      </c>
      <c r="G472" s="23" t="n">
        <v>8839000000</v>
      </c>
      <c r="H472" s="23" t="n">
        <v>3131000000</v>
      </c>
      <c r="I472" s="4" t="n">
        <v>5.38</v>
      </c>
      <c r="J472" s="23" t="n">
        <v>582100000</v>
      </c>
      <c r="K472" s="23" t="n">
        <v>1238000000</v>
      </c>
      <c r="L472" s="23" t="n">
        <v>6631000000</v>
      </c>
      <c r="M472" s="23" t="n">
        <v>-1569000000</v>
      </c>
      <c r="N472" s="23" t="n">
        <v>5062000000</v>
      </c>
      <c r="O472" s="23" t="n">
        <v>367000000</v>
      </c>
      <c r="P472" s="23" t="n">
        <v>24956000000</v>
      </c>
      <c r="Q472" s="23" t="n">
        <v>1236000000</v>
      </c>
      <c r="R472" s="23" t="n">
        <v>27686000000</v>
      </c>
      <c r="S472" s="4" t="n">
        <v>37.9704251386322</v>
      </c>
    </row>
    <row r="473" customFormat="false" ht="15" hidden="false" customHeight="false" outlineLevel="0" collapsed="false">
      <c r="A473" s="4" t="s">
        <v>464</v>
      </c>
      <c r="B473" s="4" t="n">
        <v>2023</v>
      </c>
      <c r="C473" s="4" t="s">
        <v>573</v>
      </c>
      <c r="D473" s="23" t="n">
        <v>19093000000</v>
      </c>
      <c r="E473" s="23" t="n">
        <v>11423000000</v>
      </c>
      <c r="F473" s="23" t="n">
        <v>5014000000</v>
      </c>
      <c r="G473" s="23" t="n">
        <v>8023000000</v>
      </c>
      <c r="H473" s="23" t="n">
        <v>3068000000</v>
      </c>
      <c r="I473" s="4" t="n">
        <v>4.98</v>
      </c>
      <c r="J473" s="23" t="n">
        <v>615900000</v>
      </c>
      <c r="K473" s="23" t="n">
        <v>1004000000</v>
      </c>
      <c r="L473" s="23" t="n">
        <v>5162000000</v>
      </c>
      <c r="M473" s="23" t="n">
        <v>-1388000000</v>
      </c>
      <c r="N473" s="23" t="n">
        <v>3774000000</v>
      </c>
      <c r="O473" s="23" t="n">
        <v>342000000</v>
      </c>
      <c r="P473" s="23" t="n">
        <v>23901000000</v>
      </c>
      <c r="Q473" s="23" t="n">
        <v>1204000000</v>
      </c>
      <c r="R473" s="23" t="n">
        <v>30669000000</v>
      </c>
      <c r="S473" s="4" t="n">
        <v>26.4621513944223</v>
      </c>
    </row>
    <row r="474" customFormat="false" ht="15" hidden="false" customHeight="false" outlineLevel="0" collapsed="false">
      <c r="A474" s="4" t="s">
        <v>464</v>
      </c>
      <c r="B474" s="4" t="n">
        <v>2022</v>
      </c>
      <c r="C474" s="4" t="s">
        <v>574</v>
      </c>
      <c r="D474" s="23" t="n">
        <v>17737000000</v>
      </c>
      <c r="E474" s="23" t="n">
        <v>9745000000</v>
      </c>
      <c r="F474" s="23" t="n">
        <v>3740000000</v>
      </c>
      <c r="G474" s="23" t="n">
        <v>6828000000</v>
      </c>
      <c r="H474" s="23" t="n">
        <v>2530000000</v>
      </c>
      <c r="I474" s="4" t="n">
        <v>3.9</v>
      </c>
      <c r="J474" s="23" t="n">
        <v>647900000</v>
      </c>
      <c r="K474" s="23" t="n">
        <v>746000000</v>
      </c>
      <c r="L474" s="23" t="n">
        <v>4618000000</v>
      </c>
      <c r="M474" s="23" t="n">
        <v>-1479000000</v>
      </c>
      <c r="N474" s="23" t="n">
        <v>3139000000</v>
      </c>
      <c r="O474" s="23" t="n">
        <v>323000000</v>
      </c>
      <c r="P474" s="23" t="n">
        <v>21542000000</v>
      </c>
      <c r="Q474" s="23" t="n">
        <v>902000000</v>
      </c>
      <c r="R474" s="23" t="n">
        <v>31688000000</v>
      </c>
      <c r="S474" s="4" t="n">
        <v>25.6522842639594</v>
      </c>
    </row>
    <row r="475" customFormat="false" ht="15" hidden="false" customHeight="false" outlineLevel="0" collapsed="false">
      <c r="A475" s="4" t="s">
        <v>464</v>
      </c>
      <c r="B475" s="4" t="n">
        <v>2021</v>
      </c>
      <c r="C475" s="4" t="s">
        <v>575</v>
      </c>
      <c r="D475" s="23" t="n">
        <v>16226000000</v>
      </c>
      <c r="E475" s="23" t="n">
        <v>8098000000</v>
      </c>
      <c r="F475" s="23" t="n">
        <v>2288000000</v>
      </c>
      <c r="G475" s="23" t="n">
        <v>5558000000</v>
      </c>
      <c r="H475" s="23" t="n">
        <v>1334000000</v>
      </c>
      <c r="I475" s="4" t="n">
        <v>1.99</v>
      </c>
      <c r="J475" s="23" t="n">
        <v>671600000</v>
      </c>
      <c r="K475" s="23" t="n">
        <v>696000000</v>
      </c>
      <c r="L475" s="23" t="n">
        <v>4034000000</v>
      </c>
      <c r="M475" s="23" t="n">
        <v>-1160000000</v>
      </c>
      <c r="N475" s="23" t="n">
        <v>2874000000</v>
      </c>
      <c r="O475" s="23" t="n">
        <v>239000000</v>
      </c>
      <c r="P475" s="23" t="n">
        <v>21237000000</v>
      </c>
      <c r="Q475" s="23" t="n">
        <v>835000000</v>
      </c>
      <c r="R475" s="23" t="n">
        <v>31950000000</v>
      </c>
      <c r="S475" s="4" t="n">
        <v>51.636815920398</v>
      </c>
    </row>
    <row r="476" customFormat="false" ht="15" hidden="false" customHeight="false" outlineLevel="0" collapsed="false">
      <c r="A476" s="4" t="s">
        <v>467</v>
      </c>
      <c r="B476" s="4" t="n">
        <v>2025</v>
      </c>
      <c r="C476" s="4" t="s">
        <v>103</v>
      </c>
      <c r="D476" s="23" t="n">
        <v>37442000000</v>
      </c>
      <c r="E476" s="23" t="n">
        <v>13829000000</v>
      </c>
      <c r="F476" s="23" t="n">
        <v>6567000000</v>
      </c>
      <c r="G476" s="23" t="n">
        <v>8208000000</v>
      </c>
      <c r="H476" s="23" t="n">
        <v>4729000000</v>
      </c>
      <c r="I476" s="4" t="n">
        <v>14.72</v>
      </c>
      <c r="J476" s="23" t="n">
        <v>321400000</v>
      </c>
      <c r="K476" s="23" t="n">
        <v>1344000000</v>
      </c>
      <c r="L476" s="23" t="n">
        <v>6379000000</v>
      </c>
      <c r="M476" s="23" t="n">
        <v>-986000000</v>
      </c>
      <c r="N476" s="23" t="n">
        <v>5393000000</v>
      </c>
      <c r="O476" s="23" t="n">
        <v>0</v>
      </c>
      <c r="P476" s="23" t="n">
        <v>34580000000</v>
      </c>
      <c r="Q476" s="23" t="n">
        <v>12930000000</v>
      </c>
      <c r="R476" s="23" t="n">
        <v>15440000000</v>
      </c>
      <c r="S476" s="4" t="n">
        <v>13.8243243243243</v>
      </c>
    </row>
    <row r="477" customFormat="false" ht="15" hidden="false" customHeight="false" outlineLevel="0" collapsed="false">
      <c r="A477" s="4" t="s">
        <v>467</v>
      </c>
      <c r="B477" s="4" t="n">
        <v>2024</v>
      </c>
      <c r="C477" s="4" t="s">
        <v>572</v>
      </c>
      <c r="D477" s="23" t="n">
        <v>34717000000</v>
      </c>
      <c r="E477" s="23" t="n">
        <v>13357000000</v>
      </c>
      <c r="F477" s="23" t="n">
        <v>6668000000</v>
      </c>
      <c r="G477" s="23" t="n">
        <v>8444000000</v>
      </c>
      <c r="H477" s="23" t="n">
        <v>5705000000</v>
      </c>
      <c r="I477" s="4" t="n">
        <v>17.42</v>
      </c>
      <c r="J477" s="23" t="n">
        <v>327650000</v>
      </c>
      <c r="K477" s="23" t="n">
        <v>1048000000</v>
      </c>
      <c r="L477" s="23" t="n">
        <v>6097000000</v>
      </c>
      <c r="M477" s="23" t="n">
        <v>-871000000</v>
      </c>
      <c r="N477" s="23" t="n">
        <v>5226000000</v>
      </c>
      <c r="O477" s="23" t="n">
        <v>194000000</v>
      </c>
      <c r="P477" s="23" t="n">
        <v>32225000000</v>
      </c>
      <c r="Q477" s="23" t="n">
        <v>10953000000</v>
      </c>
      <c r="R477" s="23" t="n">
        <v>19161000000</v>
      </c>
      <c r="S477" s="4" t="n">
        <v>12.7448630136986</v>
      </c>
    </row>
    <row r="478" customFormat="false" ht="15" hidden="false" customHeight="false" outlineLevel="0" collapsed="false">
      <c r="A478" s="4" t="s">
        <v>467</v>
      </c>
      <c r="B478" s="4" t="n">
        <v>2023</v>
      </c>
      <c r="C478" s="4" t="s">
        <v>573</v>
      </c>
      <c r="D478" s="23" t="n">
        <v>33009000000</v>
      </c>
      <c r="E478" s="23" t="n">
        <v>12372000000</v>
      </c>
      <c r="F478" s="23" t="n">
        <v>6110000000</v>
      </c>
      <c r="G478" s="23" t="n">
        <v>7944000000</v>
      </c>
      <c r="H478" s="23" t="n">
        <v>5658000000</v>
      </c>
      <c r="I478" s="4" t="n">
        <v>16.94</v>
      </c>
      <c r="J478" s="23" t="n">
        <v>334100000</v>
      </c>
      <c r="K478" s="23" t="n">
        <v>749000000</v>
      </c>
      <c r="L478" s="23" t="n">
        <v>5340000000</v>
      </c>
      <c r="M478" s="23" t="n">
        <v>-741000000</v>
      </c>
      <c r="N478" s="23" t="n">
        <v>4599000000</v>
      </c>
      <c r="O478" s="23" t="n">
        <v>202000000</v>
      </c>
      <c r="P478" s="23" t="n">
        <v>21536000000</v>
      </c>
      <c r="Q478" s="23" t="n">
        <v>8095000000</v>
      </c>
      <c r="R478" s="23" t="n">
        <v>16441000000</v>
      </c>
      <c r="S478" s="4" t="n">
        <v>12.1506447831184</v>
      </c>
    </row>
    <row r="479" customFormat="false" ht="15" hidden="false" customHeight="false" outlineLevel="0" collapsed="false">
      <c r="A479" s="4" t="s">
        <v>467</v>
      </c>
      <c r="B479" s="4" t="n">
        <v>2022</v>
      </c>
      <c r="C479" s="4" t="s">
        <v>574</v>
      </c>
      <c r="D479" s="23" t="n">
        <v>35466000000</v>
      </c>
      <c r="E479" s="23" t="n">
        <v>13119000000</v>
      </c>
      <c r="F479" s="23" t="n">
        <v>6427000000</v>
      </c>
      <c r="G479" s="23" t="n">
        <v>7997000000</v>
      </c>
      <c r="H479" s="23" t="n">
        <v>4966000000</v>
      </c>
      <c r="I479" s="4" t="n">
        <v>14.54</v>
      </c>
      <c r="J479" s="23" t="n">
        <v>341550000</v>
      </c>
      <c r="K479" s="23" t="n">
        <v>414000000</v>
      </c>
      <c r="L479" s="23" t="n">
        <v>5274000000</v>
      </c>
      <c r="M479" s="23" t="n">
        <v>-766000000</v>
      </c>
      <c r="N479" s="23" t="n">
        <v>4508000000</v>
      </c>
      <c r="O479" s="23" t="n">
        <v>188000000</v>
      </c>
      <c r="P479" s="23" t="n">
        <v>20537000000</v>
      </c>
      <c r="Q479" s="23" t="n">
        <v>10110000000</v>
      </c>
      <c r="R479" s="23" t="n">
        <v>17326000000</v>
      </c>
      <c r="S479" s="4" t="n">
        <v>14.4495225102319</v>
      </c>
    </row>
    <row r="480" customFormat="false" ht="15" hidden="false" customHeight="false" outlineLevel="0" collapsed="false">
      <c r="A480" s="4" t="s">
        <v>467</v>
      </c>
      <c r="B480" s="4" t="n">
        <v>2021</v>
      </c>
      <c r="C480" s="4" t="s">
        <v>575</v>
      </c>
      <c r="D480" s="23" t="n">
        <v>34392000000</v>
      </c>
      <c r="E480" s="23" t="n">
        <v>12331000000</v>
      </c>
      <c r="F480" s="23" t="n">
        <v>6200000000</v>
      </c>
      <c r="G480" s="23" t="n">
        <v>8801000000</v>
      </c>
      <c r="H480" s="23" t="n">
        <v>5542000000</v>
      </c>
      <c r="I480" s="4" t="n">
        <v>15.82</v>
      </c>
      <c r="J480" s="23" t="n">
        <v>350200000</v>
      </c>
      <c r="K480" s="23" t="n">
        <v>343000000</v>
      </c>
      <c r="L480" s="23" t="n">
        <v>6038000000</v>
      </c>
      <c r="M480" s="23" t="n">
        <v>-895000000</v>
      </c>
      <c r="N480" s="23" t="n">
        <v>5143000000</v>
      </c>
      <c r="O480" s="23" t="n">
        <v>217000000</v>
      </c>
      <c r="P480" s="23" t="n">
        <v>20631000000</v>
      </c>
      <c r="Q480" s="23" t="n">
        <v>11523000000</v>
      </c>
      <c r="R480" s="23" t="n">
        <v>19249000000</v>
      </c>
      <c r="S480" s="4" t="n">
        <v>12.8657927590512</v>
      </c>
    </row>
    <row r="481" customFormat="false" ht="15" hidden="false" customHeight="false" outlineLevel="0" collapsed="false">
      <c r="A481" s="4" t="s">
        <v>470</v>
      </c>
      <c r="B481" s="4" t="n">
        <v>2025</v>
      </c>
      <c r="C481" s="4" t="s">
        <v>305</v>
      </c>
      <c r="D481" s="23" t="n">
        <v>52853000000</v>
      </c>
      <c r="E481" s="23" t="n">
        <v>18375000000</v>
      </c>
      <c r="F481" s="23" t="n">
        <v>-2214000000</v>
      </c>
      <c r="G481" s="23" t="n">
        <v>14354000000</v>
      </c>
      <c r="H481" s="23" t="n">
        <v>-267000000</v>
      </c>
      <c r="I481" s="4" t="n">
        <v>-0.0589</v>
      </c>
      <c r="J481" s="23" t="n">
        <v>4856000000</v>
      </c>
      <c r="K481" s="23" t="n">
        <v>1091000000</v>
      </c>
      <c r="L481" s="23" t="n">
        <v>9697000000</v>
      </c>
      <c r="M481" s="23" t="n">
        <v>-14646000000</v>
      </c>
      <c r="N481" s="23" t="n">
        <v>-4949000000</v>
      </c>
      <c r="O481" s="23" t="n">
        <v>2434000000</v>
      </c>
      <c r="P481" s="23" t="n">
        <v>46585000000</v>
      </c>
      <c r="Q481" s="23" t="n">
        <v>37416000000</v>
      </c>
      <c r="R481" s="23" t="n">
        <v>126360000000</v>
      </c>
      <c r="S481" s="4" t="n">
        <v>-614.601018675722</v>
      </c>
    </row>
    <row r="482" customFormat="false" ht="15" hidden="false" customHeight="false" outlineLevel="0" collapsed="false">
      <c r="A482" s="4" t="s">
        <v>470</v>
      </c>
      <c r="B482" s="4" t="n">
        <v>2024</v>
      </c>
      <c r="C482" s="4" t="s">
        <v>617</v>
      </c>
      <c r="D482" s="23" t="n">
        <v>53101000000</v>
      </c>
      <c r="E482" s="23" t="n">
        <v>17345000000</v>
      </c>
      <c r="F482" s="23" t="n">
        <v>-11678000000</v>
      </c>
      <c r="G482" s="23" t="n">
        <v>1203000000</v>
      </c>
      <c r="H482" s="23" t="n">
        <v>-18756000000</v>
      </c>
      <c r="I482" s="4" t="n">
        <v>-4.38</v>
      </c>
      <c r="J482" s="23" t="n">
        <v>4280000000</v>
      </c>
      <c r="K482" s="23" t="n">
        <v>824000000</v>
      </c>
      <c r="L482" s="23" t="n">
        <v>8288000000</v>
      </c>
      <c r="M482" s="23" t="n">
        <v>-23944000000</v>
      </c>
      <c r="N482" s="23" t="n">
        <v>-15656000000</v>
      </c>
      <c r="O482" s="23" t="n">
        <v>3410000000</v>
      </c>
      <c r="P482" s="23" t="n">
        <v>50011000000</v>
      </c>
      <c r="Q482" s="23" t="n">
        <v>22062000000</v>
      </c>
      <c r="R482" s="23" t="n">
        <v>105032000000</v>
      </c>
      <c r="S482" s="4" t="n">
        <v>-4.63470319634703</v>
      </c>
    </row>
    <row r="483" customFormat="false" ht="15" hidden="false" customHeight="false" outlineLevel="0" collapsed="false">
      <c r="A483" s="4" t="s">
        <v>470</v>
      </c>
      <c r="B483" s="4" t="n">
        <v>2023</v>
      </c>
      <c r="C483" s="4" t="s">
        <v>618</v>
      </c>
      <c r="D483" s="23" t="n">
        <v>54228000000</v>
      </c>
      <c r="E483" s="23" t="n">
        <v>21711000000</v>
      </c>
      <c r="F483" s="23" t="n">
        <v>93000000</v>
      </c>
      <c r="G483" s="23" t="n">
        <v>11242000000</v>
      </c>
      <c r="H483" s="23" t="n">
        <v>1689000000</v>
      </c>
      <c r="I483" s="4" t="n">
        <v>0.4</v>
      </c>
      <c r="J483" s="23" t="n">
        <v>4212000000</v>
      </c>
      <c r="K483" s="23" t="n">
        <v>878000000</v>
      </c>
      <c r="L483" s="23" t="n">
        <v>11471000000</v>
      </c>
      <c r="M483" s="23" t="n">
        <v>-25750000000</v>
      </c>
      <c r="N483" s="23" t="n">
        <v>-14279000000</v>
      </c>
      <c r="O483" s="23" t="n">
        <v>3229000000</v>
      </c>
      <c r="P483" s="23" t="n">
        <v>49278000000</v>
      </c>
      <c r="Q483" s="23" t="n">
        <v>25034000000</v>
      </c>
      <c r="R483" s="23" t="n">
        <v>109965000000</v>
      </c>
      <c r="S483" s="4" t="n">
        <v>125.625</v>
      </c>
    </row>
    <row r="484" customFormat="false" ht="15" hidden="false" customHeight="false" outlineLevel="0" collapsed="false">
      <c r="A484" s="4" t="s">
        <v>470</v>
      </c>
      <c r="B484" s="4" t="n">
        <v>2022</v>
      </c>
      <c r="C484" s="4" t="s">
        <v>574</v>
      </c>
      <c r="D484" s="23" t="n">
        <v>63054000000</v>
      </c>
      <c r="E484" s="23" t="n">
        <v>26866000000</v>
      </c>
      <c r="F484" s="23" t="n">
        <v>2334000000</v>
      </c>
      <c r="G484" s="23" t="n">
        <v>21299000000</v>
      </c>
      <c r="H484" s="23" t="n">
        <v>8014000000</v>
      </c>
      <c r="I484" s="4" t="n">
        <v>1.94</v>
      </c>
      <c r="J484" s="23" t="n">
        <v>4123000000</v>
      </c>
      <c r="K484" s="23" t="n">
        <v>496000000</v>
      </c>
      <c r="L484" s="23" t="n">
        <v>15433000000</v>
      </c>
      <c r="M484" s="23" t="n">
        <v>-25050000000</v>
      </c>
      <c r="N484" s="23" t="n">
        <v>-9617000000</v>
      </c>
      <c r="O484" s="23" t="n">
        <v>3128000000</v>
      </c>
      <c r="P484" s="23" t="n">
        <v>42051000000</v>
      </c>
      <c r="Q484" s="23" t="n">
        <v>28338000000</v>
      </c>
      <c r="R484" s="23" t="n">
        <v>103286000000</v>
      </c>
      <c r="S484" s="4" t="n">
        <v>13.5538461538462</v>
      </c>
    </row>
    <row r="485" customFormat="false" ht="15" hidden="false" customHeight="false" outlineLevel="0" collapsed="false">
      <c r="A485" s="4" t="s">
        <v>470</v>
      </c>
      <c r="B485" s="4" t="n">
        <v>2021</v>
      </c>
      <c r="C485" s="4" t="s">
        <v>619</v>
      </c>
      <c r="D485" s="23" t="n">
        <v>79024000000</v>
      </c>
      <c r="E485" s="23" t="n">
        <v>43815000000</v>
      </c>
      <c r="F485" s="23" t="n">
        <v>19456000000</v>
      </c>
      <c r="G485" s="23" t="n">
        <v>33874000000</v>
      </c>
      <c r="H485" s="23" t="n">
        <v>19868000000</v>
      </c>
      <c r="I485" s="4" t="n">
        <v>4.86</v>
      </c>
      <c r="J485" s="23" t="n">
        <v>4090000000</v>
      </c>
      <c r="K485" s="23" t="n">
        <v>597000000</v>
      </c>
      <c r="L485" s="23" t="n">
        <v>29456000000</v>
      </c>
      <c r="M485" s="23" t="n">
        <v>-20329000000</v>
      </c>
      <c r="N485" s="23" t="n">
        <v>9127000000</v>
      </c>
      <c r="O485" s="23" t="n">
        <v>2036000000</v>
      </c>
      <c r="P485" s="23" t="n">
        <v>38101000000</v>
      </c>
      <c r="Q485" s="23" t="n">
        <v>29253000000</v>
      </c>
      <c r="R485" s="23" t="n">
        <v>95391000000</v>
      </c>
      <c r="S485" s="4" t="n">
        <v>10.4928425357873</v>
      </c>
    </row>
    <row r="486" customFormat="false" ht="15" hidden="false" customHeight="false" outlineLevel="0" collapsed="false">
      <c r="A486" s="4" t="s">
        <v>474</v>
      </c>
      <c r="B486" s="4" t="n">
        <v>2025</v>
      </c>
      <c r="C486" s="4" t="s">
        <v>103</v>
      </c>
      <c r="D486" s="23" t="n">
        <v>19207544000</v>
      </c>
      <c r="E486" s="23" t="n">
        <v>3456678000</v>
      </c>
      <c r="F486" s="23" t="n">
        <v>490198000</v>
      </c>
      <c r="G486" s="23" t="n">
        <v>10171075000</v>
      </c>
      <c r="H486" s="23" t="n">
        <v>2370463000</v>
      </c>
      <c r="I486" s="4" t="n">
        <v>2.34</v>
      </c>
      <c r="J486" s="23" t="n">
        <v>955757000</v>
      </c>
      <c r="K486" s="23" t="n">
        <v>3071915000</v>
      </c>
      <c r="L486" s="23" t="n">
        <v>477760000</v>
      </c>
      <c r="M486" s="23" t="n">
        <v>-160765000</v>
      </c>
      <c r="N486" s="23" t="n">
        <v>316995000</v>
      </c>
      <c r="O486" s="23" t="n">
        <v>722109000</v>
      </c>
      <c r="P486" s="23" t="n">
        <v>54765833000</v>
      </c>
      <c r="Q486" s="23" t="n">
        <v>6155000</v>
      </c>
      <c r="R486" s="23" t="n">
        <v>81631911000</v>
      </c>
      <c r="S486" s="4" t="n">
        <v>50.788844621514</v>
      </c>
    </row>
    <row r="487" customFormat="false" ht="15" hidden="false" customHeight="false" outlineLevel="0" collapsed="false">
      <c r="A487" s="4" t="s">
        <v>474</v>
      </c>
      <c r="B487" s="4" t="n">
        <v>2024</v>
      </c>
      <c r="C487" s="4" t="s">
        <v>572</v>
      </c>
      <c r="D487" s="23" t="n">
        <v>21640288000</v>
      </c>
      <c r="E487" s="23" t="n">
        <v>3841876000</v>
      </c>
      <c r="F487" s="23" t="n">
        <v>926197000</v>
      </c>
      <c r="G487" s="23" t="n">
        <v>9166347000</v>
      </c>
      <c r="H487" s="23" t="n">
        <v>3076245000</v>
      </c>
      <c r="I487" s="4" t="n">
        <v>3.28</v>
      </c>
      <c r="J487" s="23" t="n">
        <v>938905000</v>
      </c>
      <c r="K487" s="23" t="n">
        <v>3305914000</v>
      </c>
      <c r="L487" s="23" t="n">
        <v>6649878000</v>
      </c>
      <c r="M487" s="23" t="n">
        <v>-141536000</v>
      </c>
      <c r="N487" s="23" t="n">
        <v>6508342000</v>
      </c>
      <c r="O487" s="23" t="n">
        <v>746443000</v>
      </c>
      <c r="P487" s="23" t="n">
        <v>50816440000</v>
      </c>
      <c r="Q487" s="23" t="n">
        <v>112557690000</v>
      </c>
      <c r="R487" s="23" t="n">
        <v>61984692000</v>
      </c>
      <c r="S487" s="4" t="n">
        <v>42.6253602305476</v>
      </c>
    </row>
    <row r="488" customFormat="false" ht="15" hidden="false" customHeight="false" outlineLevel="0" collapsed="false">
      <c r="A488" s="4" t="s">
        <v>474</v>
      </c>
      <c r="B488" s="4" t="n">
        <v>2023</v>
      </c>
      <c r="C488" s="4" t="s">
        <v>573</v>
      </c>
      <c r="D488" s="23" t="n">
        <v>14322870000</v>
      </c>
      <c r="E488" s="23" t="n">
        <v>4860651000</v>
      </c>
      <c r="F488" s="23" t="n">
        <v>2138148000</v>
      </c>
      <c r="G488" s="23" t="n">
        <v>9500580000</v>
      </c>
      <c r="H488" s="23" t="n">
        <v>3732261000</v>
      </c>
      <c r="I488" s="4" t="n">
        <v>4.09</v>
      </c>
      <c r="J488" s="23" t="n">
        <v>911787000</v>
      </c>
      <c r="K488" s="23" t="n">
        <v>2945971000</v>
      </c>
      <c r="L488" s="23" t="n">
        <v>-1493812000</v>
      </c>
      <c r="M488" s="23" t="n">
        <v>-108393000</v>
      </c>
      <c r="N488" s="23" t="n">
        <v>-1602205000</v>
      </c>
      <c r="O488" s="23" t="n">
        <v>618469000</v>
      </c>
      <c r="P488" s="23" t="n">
        <v>49387579000</v>
      </c>
      <c r="Q488" s="23" t="n">
        <v>108568225000</v>
      </c>
      <c r="R488" s="23" t="n">
        <v>58378912000</v>
      </c>
      <c r="S488" s="4" t="n">
        <v>19.5400943396226</v>
      </c>
    </row>
    <row r="489" customFormat="false" ht="15" hidden="false" customHeight="false" outlineLevel="0" collapsed="false">
      <c r="A489" s="4" t="s">
        <v>474</v>
      </c>
      <c r="B489" s="4" t="n">
        <v>2022</v>
      </c>
      <c r="C489" s="4" t="s">
        <v>574</v>
      </c>
      <c r="D489" s="23" t="n">
        <v>5565056000</v>
      </c>
      <c r="E489" s="23" t="n">
        <v>2006803000</v>
      </c>
      <c r="F489" s="23" t="n">
        <v>-345578000</v>
      </c>
      <c r="G489" s="23" t="n">
        <v>1345738000</v>
      </c>
      <c r="H489" s="23" t="n">
        <v>-521664000</v>
      </c>
      <c r="I489" s="4" t="n">
        <v>-0.79</v>
      </c>
      <c r="J489" s="23" t="n">
        <v>749504970</v>
      </c>
      <c r="K489" s="23" t="n">
        <v>1637959000</v>
      </c>
      <c r="L489" s="23" t="n">
        <v>-5279259000</v>
      </c>
      <c r="M489" s="23" t="n">
        <v>-85056000</v>
      </c>
      <c r="N489" s="23" t="n">
        <v>-5364315000</v>
      </c>
      <c r="O489" s="23" t="n">
        <v>730236000</v>
      </c>
      <c r="P489" s="23" t="n">
        <v>44074997000</v>
      </c>
      <c r="Q489" s="23" t="n">
        <v>12823556000</v>
      </c>
      <c r="R489" s="23" t="n">
        <v>55370690000</v>
      </c>
      <c r="S489" s="4" t="n">
        <v>-58.7594936708861</v>
      </c>
    </row>
    <row r="490" customFormat="false" ht="15" hidden="false" customHeight="false" outlineLevel="0" collapsed="false">
      <c r="A490" s="4" t="s">
        <v>474</v>
      </c>
      <c r="B490" s="4" t="n">
        <v>2021</v>
      </c>
      <c r="C490" s="4" t="s">
        <v>575</v>
      </c>
      <c r="D490" s="23" t="n">
        <v>16105827000</v>
      </c>
      <c r="E490" s="23" t="n">
        <v>6895582000</v>
      </c>
      <c r="F490" s="23" t="n">
        <v>4953222000</v>
      </c>
      <c r="G490" s="23" t="n">
        <v>14978628000</v>
      </c>
      <c r="H490" s="23" t="n">
        <v>4732406000</v>
      </c>
      <c r="I490" s="4" t="n">
        <v>7.42</v>
      </c>
      <c r="J490" s="23" t="n">
        <v>633093000</v>
      </c>
      <c r="K490" s="23" t="n">
        <v>1132029000</v>
      </c>
      <c r="L490" s="23" t="n">
        <v>-7176708000</v>
      </c>
      <c r="M490" s="23" t="n">
        <v>-102049000</v>
      </c>
      <c r="N490" s="23" t="n">
        <v>-7278757000</v>
      </c>
      <c r="O490" s="23" t="n">
        <v>529816000</v>
      </c>
      <c r="P490" s="23" t="n">
        <v>39590222000</v>
      </c>
      <c r="Q490" s="23" t="n">
        <v>10091602000</v>
      </c>
      <c r="R490" s="23" t="n">
        <v>58139220000</v>
      </c>
      <c r="S490" s="4" t="n">
        <v>9.37106918238994</v>
      </c>
    </row>
    <row r="491" customFormat="false" ht="15" hidden="false" customHeight="false" outlineLevel="0" collapsed="false">
      <c r="A491" s="4" t="s">
        <v>31</v>
      </c>
      <c r="B491" s="4" t="n">
        <v>2025</v>
      </c>
      <c r="C491" s="4" t="s">
        <v>340</v>
      </c>
      <c r="D491" s="23" t="n">
        <v>86286000000</v>
      </c>
      <c r="E491" s="23" t="n">
        <v>28885000000</v>
      </c>
      <c r="F491" s="23" t="n">
        <v>10153000000</v>
      </c>
      <c r="G491" s="23" t="n">
        <v>12468000000</v>
      </c>
      <c r="H491" s="23" t="n">
        <v>6654000000</v>
      </c>
      <c r="I491" s="4" t="n">
        <v>11.85</v>
      </c>
      <c r="J491" s="23" t="n">
        <v>560000000</v>
      </c>
      <c r="K491" s="23" t="n">
        <v>1527000000</v>
      </c>
      <c r="L491" s="23" t="n">
        <v>9864000000</v>
      </c>
      <c r="M491" s="23" t="n">
        <v>-2213000000</v>
      </c>
      <c r="N491" s="23" t="n">
        <v>7651000000</v>
      </c>
      <c r="O491" s="23" t="n">
        <v>247000000</v>
      </c>
      <c r="P491" s="23" t="n">
        <v>44677000000</v>
      </c>
      <c r="Q491" s="23" t="n">
        <v>1352000000</v>
      </c>
      <c r="R491" s="23" t="n">
        <v>-9917000000</v>
      </c>
      <c r="S491" s="4" t="n">
        <v>22.4987363100253</v>
      </c>
    </row>
    <row r="492" customFormat="false" ht="15" hidden="false" customHeight="false" outlineLevel="0" collapsed="false">
      <c r="A492" s="4" t="s">
        <v>31</v>
      </c>
      <c r="B492" s="4" t="n">
        <v>2024</v>
      </c>
      <c r="C492" s="4" t="s">
        <v>584</v>
      </c>
      <c r="D492" s="23" t="n">
        <v>83674000000</v>
      </c>
      <c r="E492" s="23" t="n">
        <v>27877000000</v>
      </c>
      <c r="F492" s="23" t="n">
        <v>10466000000</v>
      </c>
      <c r="G492" s="23" t="n">
        <v>12597000000</v>
      </c>
      <c r="H492" s="23" t="n">
        <v>6957000000</v>
      </c>
      <c r="I492" s="4" t="n">
        <v>12.23</v>
      </c>
      <c r="J492" s="23" t="n">
        <v>567457000</v>
      </c>
      <c r="K492" s="23" t="n">
        <v>1469000000</v>
      </c>
      <c r="L492" s="23" t="n">
        <v>9625000000</v>
      </c>
      <c r="M492" s="23" t="n">
        <v>-1927000000</v>
      </c>
      <c r="N492" s="23" t="n">
        <v>7698000000</v>
      </c>
      <c r="O492" s="23" t="n">
        <v>221000000</v>
      </c>
      <c r="P492" s="23" t="n">
        <v>39678000000</v>
      </c>
      <c r="Q492" s="23" t="n">
        <v>2133000000</v>
      </c>
      <c r="R492" s="23" t="n">
        <v>-14231000000</v>
      </c>
      <c r="S492" s="4" t="n">
        <v>21.2277551020408</v>
      </c>
    </row>
    <row r="493" customFormat="false" ht="15" hidden="false" customHeight="false" outlineLevel="0" collapsed="false">
      <c r="A493" s="4" t="s">
        <v>31</v>
      </c>
      <c r="B493" s="4" t="n">
        <v>2023</v>
      </c>
      <c r="C493" s="4" t="s">
        <v>585</v>
      </c>
      <c r="D493" s="23" t="n">
        <v>86377000000</v>
      </c>
      <c r="E493" s="23" t="n">
        <v>28844000000</v>
      </c>
      <c r="F493" s="23" t="n">
        <v>11557000000</v>
      </c>
      <c r="G493" s="23" t="n">
        <v>13581000000</v>
      </c>
      <c r="H493" s="23" t="n">
        <v>7726000000</v>
      </c>
      <c r="I493" s="4" t="n">
        <v>13.2</v>
      </c>
      <c r="J493" s="23" t="n">
        <v>584000000</v>
      </c>
      <c r="K493" s="23" t="n">
        <v>1473000000</v>
      </c>
      <c r="L493" s="23" t="n">
        <v>8140000000</v>
      </c>
      <c r="M493" s="23" t="n">
        <v>-1964000000</v>
      </c>
      <c r="N493" s="23" t="n">
        <v>6176000000</v>
      </c>
      <c r="O493" s="23" t="n">
        <v>210000000</v>
      </c>
      <c r="P493" s="23" t="n">
        <v>40145000000</v>
      </c>
      <c r="Q493" s="23" t="n">
        <v>1228000000</v>
      </c>
      <c r="R493" s="23" t="n">
        <v>-15050000000</v>
      </c>
      <c r="S493" s="4" t="n">
        <v>16.0755287009063</v>
      </c>
    </row>
    <row r="494" customFormat="false" ht="15" hidden="false" customHeight="false" outlineLevel="0" collapsed="false">
      <c r="A494" s="4" t="s">
        <v>31</v>
      </c>
      <c r="B494" s="4" t="n">
        <v>2022</v>
      </c>
      <c r="C494" s="4" t="s">
        <v>586</v>
      </c>
      <c r="D494" s="23" t="n">
        <v>97059000000</v>
      </c>
      <c r="E494" s="23" t="n">
        <v>32257000000</v>
      </c>
      <c r="F494" s="23" t="n">
        <v>10159000000</v>
      </c>
      <c r="G494" s="23" t="n">
        <v>12177000000</v>
      </c>
      <c r="H494" s="23" t="n">
        <v>6437000000</v>
      </c>
      <c r="I494" s="4" t="n">
        <v>10.17</v>
      </c>
      <c r="J494" s="23" t="n">
        <v>631000000</v>
      </c>
      <c r="K494" s="23" t="n">
        <v>1138000000</v>
      </c>
      <c r="L494" s="23" t="n">
        <v>8589000000</v>
      </c>
      <c r="M494" s="23" t="n">
        <v>-1829000000</v>
      </c>
      <c r="N494" s="23" t="n">
        <v>6760000000</v>
      </c>
      <c r="O494" s="23" t="n">
        <v>224000000</v>
      </c>
      <c r="P494" s="23" t="n">
        <v>37994000000</v>
      </c>
      <c r="Q494" s="23" t="n">
        <v>1732000000</v>
      </c>
      <c r="R494" s="23" t="n">
        <v>-14254000000</v>
      </c>
      <c r="S494" s="4" t="n">
        <v>20.4166666666667</v>
      </c>
    </row>
    <row r="495" customFormat="false" ht="15" hidden="false" customHeight="false" outlineLevel="0" collapsed="false">
      <c r="A495" s="4" t="s">
        <v>31</v>
      </c>
      <c r="B495" s="4" t="n">
        <v>2021</v>
      </c>
      <c r="C495" s="4" t="s">
        <v>587</v>
      </c>
      <c r="D495" s="23" t="n">
        <v>96250000000</v>
      </c>
      <c r="E495" s="23" t="n">
        <v>32056000000</v>
      </c>
      <c r="F495" s="23" t="n">
        <v>12093000000</v>
      </c>
      <c r="G495" s="23" t="n">
        <v>13987000000</v>
      </c>
      <c r="H495" s="23" t="n">
        <v>8442000000</v>
      </c>
      <c r="I495" s="4" t="n">
        <v>12.03</v>
      </c>
      <c r="J495" s="23" t="n">
        <v>699000000</v>
      </c>
      <c r="K495" s="23" t="n">
        <v>859000000</v>
      </c>
      <c r="L495" s="23" t="n">
        <v>10113000000</v>
      </c>
      <c r="M495" s="23" t="n">
        <v>-1853000000</v>
      </c>
      <c r="N495" s="23" t="n">
        <v>8260000000</v>
      </c>
      <c r="O495" s="23" t="n">
        <v>230000000</v>
      </c>
      <c r="P495" s="23" t="n">
        <v>29384000000</v>
      </c>
      <c r="Q495" s="23" t="n">
        <v>1404000000</v>
      </c>
      <c r="R495" s="23" t="n">
        <v>-4816000000</v>
      </c>
      <c r="S495" s="4" t="n">
        <v>19.648178807947</v>
      </c>
    </row>
    <row r="496" customFormat="false" ht="15" hidden="false" customHeight="false" outlineLevel="0" collapsed="false">
      <c r="A496" s="4" t="s">
        <v>480</v>
      </c>
      <c r="B496" s="4" t="n">
        <v>2025</v>
      </c>
      <c r="C496" s="4" t="s">
        <v>103</v>
      </c>
      <c r="D496" s="23" t="n">
        <v>38537000000</v>
      </c>
      <c r="E496" s="23" t="n">
        <v>10935000000</v>
      </c>
      <c r="F496" s="23" t="n">
        <v>3620000000</v>
      </c>
      <c r="G496" s="23" t="n">
        <v>4654000000</v>
      </c>
      <c r="H496" s="23" t="n">
        <v>2451000000</v>
      </c>
      <c r="I496" s="4" t="n">
        <v>1.89</v>
      </c>
      <c r="J496" s="23" t="n">
        <v>1298000000</v>
      </c>
      <c r="K496" s="23" t="n">
        <v>599000000</v>
      </c>
      <c r="L496" s="23" t="n">
        <v>4514000000</v>
      </c>
      <c r="M496" s="23" t="n">
        <v>-1279000000</v>
      </c>
      <c r="N496" s="23" t="n">
        <v>3235000000</v>
      </c>
      <c r="O496" s="23" t="n">
        <v>114000000</v>
      </c>
      <c r="P496" s="23" t="n">
        <v>22403000000</v>
      </c>
      <c r="Q496" s="23" t="n">
        <v>2125000000</v>
      </c>
      <c r="R496" s="23" t="n">
        <v>25891000000</v>
      </c>
      <c r="S496" s="4" t="n">
        <v>28.4814814814815</v>
      </c>
    </row>
    <row r="497" customFormat="false" ht="15" hidden="false" customHeight="false" outlineLevel="0" collapsed="false">
      <c r="A497" s="4" t="s">
        <v>480</v>
      </c>
      <c r="B497" s="4" t="n">
        <v>2024</v>
      </c>
      <c r="C497" s="4" t="s">
        <v>572</v>
      </c>
      <c r="D497" s="23" t="n">
        <v>36441000000</v>
      </c>
      <c r="E497" s="23" t="n">
        <v>14257000000</v>
      </c>
      <c r="F497" s="23" t="n">
        <v>6345000000</v>
      </c>
      <c r="G497" s="23" t="n">
        <v>8071000000</v>
      </c>
      <c r="H497" s="23" t="n">
        <v>4611000000</v>
      </c>
      <c r="I497" s="4" t="n">
        <v>3.42</v>
      </c>
      <c r="J497" s="23" t="n">
        <v>1347000000</v>
      </c>
      <c r="K497" s="23" t="n">
        <v>508000000</v>
      </c>
      <c r="L497" s="23" t="n">
        <v>4910000000</v>
      </c>
      <c r="M497" s="23" t="n">
        <v>-1387000000</v>
      </c>
      <c r="N497" s="23" t="n">
        <v>3523000000</v>
      </c>
      <c r="O497" s="23" t="n">
        <v>147000000</v>
      </c>
      <c r="P497" s="23" t="n">
        <v>18372000000</v>
      </c>
      <c r="Q497" s="23" t="n">
        <v>1351000000</v>
      </c>
      <c r="R497" s="23" t="n">
        <v>26958000000</v>
      </c>
      <c r="S497" s="4" t="n">
        <v>17.3633720930233</v>
      </c>
    </row>
    <row r="498" customFormat="false" ht="15" hidden="false" customHeight="false" outlineLevel="0" collapsed="false">
      <c r="A498" s="4" t="s">
        <v>480</v>
      </c>
      <c r="B498" s="4" t="n">
        <v>2023</v>
      </c>
      <c r="C498" s="4" t="s">
        <v>573</v>
      </c>
      <c r="D498" s="23" t="n">
        <v>36016000000</v>
      </c>
      <c r="E498" s="23" t="n">
        <v>13764000000</v>
      </c>
      <c r="F498" s="23" t="n">
        <v>5502000000</v>
      </c>
      <c r="G498" s="23" t="n">
        <v>7645000000</v>
      </c>
      <c r="H498" s="23" t="n">
        <v>4959000000</v>
      </c>
      <c r="I498" s="4" t="n">
        <v>3.62</v>
      </c>
      <c r="J498" s="23" t="n">
        <v>1370000000</v>
      </c>
      <c r="K498" s="23" t="n">
        <v>550000000</v>
      </c>
      <c r="L498" s="23" t="n">
        <v>4714000000</v>
      </c>
      <c r="M498" s="23" t="n">
        <v>-1112000000</v>
      </c>
      <c r="N498" s="23" t="n">
        <v>3602000000</v>
      </c>
      <c r="O498" s="23" t="n">
        <v>146000000</v>
      </c>
      <c r="P498" s="23" t="n">
        <v>19945000000</v>
      </c>
      <c r="Q498" s="23" t="n">
        <v>1810000000</v>
      </c>
      <c r="R498" s="23" t="n">
        <v>28366000000</v>
      </c>
      <c r="S498" s="4" t="n">
        <v>19.8983516483517</v>
      </c>
    </row>
    <row r="499" customFormat="false" ht="15" hidden="false" customHeight="false" outlineLevel="0" collapsed="false">
      <c r="A499" s="4" t="s">
        <v>480</v>
      </c>
      <c r="B499" s="4" t="n">
        <v>2022</v>
      </c>
      <c r="C499" s="4" t="s">
        <v>574</v>
      </c>
      <c r="D499" s="23" t="n">
        <v>31496000000</v>
      </c>
      <c r="E499" s="23" t="n">
        <v>11312000000</v>
      </c>
      <c r="F499" s="23" t="n">
        <v>3534000000</v>
      </c>
      <c r="G499" s="23" t="n">
        <v>4763000000</v>
      </c>
      <c r="H499" s="23" t="n">
        <v>2717000000</v>
      </c>
      <c r="I499" s="4" t="n">
        <v>1.96</v>
      </c>
      <c r="J499" s="23" t="n">
        <v>1385000000</v>
      </c>
      <c r="K499" s="23" t="n">
        <v>428000000</v>
      </c>
      <c r="L499" s="23" t="n">
        <v>3908000000</v>
      </c>
      <c r="M499" s="23" t="n">
        <v>-906000000</v>
      </c>
      <c r="N499" s="23" t="n">
        <v>3002000000</v>
      </c>
      <c r="O499" s="23" t="n">
        <v>120000000</v>
      </c>
      <c r="P499" s="23" t="n">
        <v>23542000000</v>
      </c>
      <c r="Q499" s="23" t="n">
        <v>1923000000</v>
      </c>
      <c r="R499" s="23" t="n">
        <v>26920000000</v>
      </c>
      <c r="S499" s="4" t="n">
        <v>33.8324873096447</v>
      </c>
    </row>
    <row r="500" customFormat="false" ht="15" hidden="false" customHeight="false" outlineLevel="0" collapsed="false">
      <c r="A500" s="4" t="s">
        <v>480</v>
      </c>
      <c r="B500" s="4" t="n">
        <v>2021</v>
      </c>
      <c r="C500" s="4" t="s">
        <v>575</v>
      </c>
      <c r="D500" s="23" t="n">
        <v>28720000000</v>
      </c>
      <c r="E500" s="23" t="n">
        <v>11254000000</v>
      </c>
      <c r="F500" s="23" t="n">
        <v>4653000000</v>
      </c>
      <c r="G500" s="23" t="n">
        <v>5847000000</v>
      </c>
      <c r="H500" s="23" t="n">
        <v>4300000000</v>
      </c>
      <c r="I500" s="4" t="n">
        <v>3.04</v>
      </c>
      <c r="J500" s="23" t="n">
        <v>1413000000</v>
      </c>
      <c r="K500" s="23" t="n">
        <v>365000000</v>
      </c>
      <c r="L500" s="23" t="n">
        <v>4141000000</v>
      </c>
      <c r="M500" s="23" t="n">
        <v>-965000000</v>
      </c>
      <c r="N500" s="23" t="n">
        <v>3176000000</v>
      </c>
      <c r="O500" s="23" t="n">
        <v>121000000</v>
      </c>
      <c r="P500" s="23" t="n">
        <v>19971000000</v>
      </c>
      <c r="Q500" s="23" t="n">
        <v>3546000000</v>
      </c>
      <c r="R500" s="23" t="n">
        <v>28323000000</v>
      </c>
      <c r="S500" s="4" t="n">
        <v>21.6699346405229</v>
      </c>
    </row>
    <row r="501" customFormat="false" ht="15" hidden="false" customHeight="false" outlineLevel="0" collapsed="false">
      <c r="A501" s="4" t="s">
        <v>484</v>
      </c>
      <c r="B501" s="4" t="n">
        <v>2026</v>
      </c>
      <c r="C501" s="4" t="s">
        <v>165</v>
      </c>
      <c r="D501" s="23" t="n">
        <v>8194600000</v>
      </c>
      <c r="E501" s="23" t="n">
        <v>4180700000</v>
      </c>
      <c r="F501" s="23" t="n">
        <v>1338400000</v>
      </c>
      <c r="G501" s="23" t="n">
        <v>4539800000</v>
      </c>
      <c r="H501" s="23" t="n">
        <v>2670100000</v>
      </c>
      <c r="I501" s="4" t="n">
        <v>3.07</v>
      </c>
      <c r="J501" s="23" t="n">
        <v>869700000</v>
      </c>
      <c r="K501" s="23" t="n">
        <v>202600000</v>
      </c>
      <c r="L501" s="23" t="n">
        <v>1750500000</v>
      </c>
      <c r="M501" s="23" t="n">
        <v>-354100000</v>
      </c>
      <c r="N501" s="23" t="n">
        <v>1396400000</v>
      </c>
      <c r="O501" s="23" t="n">
        <v>590800000</v>
      </c>
      <c r="P501" s="23" t="n">
        <v>4790300000</v>
      </c>
      <c r="Q501" s="23" t="n">
        <v>2638800000</v>
      </c>
      <c r="R501" s="23" t="n">
        <v>14308400000</v>
      </c>
      <c r="S501" s="4" t="n">
        <v>25.458064516129</v>
      </c>
    </row>
    <row r="502" customFormat="false" ht="15" hidden="false" customHeight="false" outlineLevel="0" collapsed="false">
      <c r="A502" s="4" t="s">
        <v>484</v>
      </c>
      <c r="B502" s="4" t="n">
        <v>2025</v>
      </c>
      <c r="C502" s="4" t="s">
        <v>584</v>
      </c>
      <c r="D502" s="23" t="n">
        <v>5767300000</v>
      </c>
      <c r="E502" s="23" t="n">
        <v>2382200000</v>
      </c>
      <c r="F502" s="23" t="n">
        <v>-720300000</v>
      </c>
      <c r="G502" s="23" t="n">
        <v>651600000</v>
      </c>
      <c r="H502" s="23" t="n">
        <v>-885000000</v>
      </c>
      <c r="I502" s="4" t="n">
        <v>-1.02</v>
      </c>
      <c r="J502" s="23" t="n">
        <v>865500000</v>
      </c>
      <c r="K502" s="23" t="n">
        <v>189400000</v>
      </c>
      <c r="L502" s="23" t="n">
        <v>1681200000</v>
      </c>
      <c r="M502" s="23" t="n">
        <v>-291600000</v>
      </c>
      <c r="N502" s="23" t="n">
        <v>1389600000</v>
      </c>
      <c r="O502" s="23" t="n">
        <v>597400000</v>
      </c>
      <c r="P502" s="23" t="n">
        <v>4343100000</v>
      </c>
      <c r="Q502" s="23" t="n">
        <v>948300000</v>
      </c>
      <c r="R502" s="23" t="n">
        <v>13427000000</v>
      </c>
      <c r="S502" s="4" t="n">
        <v>-110.647058823529</v>
      </c>
    </row>
    <row r="503" customFormat="false" ht="15" hidden="false" customHeight="false" outlineLevel="0" collapsed="false">
      <c r="A503" s="4" t="s">
        <v>484</v>
      </c>
      <c r="B503" s="4" t="n">
        <v>2024</v>
      </c>
      <c r="C503" s="4" t="s">
        <v>585</v>
      </c>
      <c r="D503" s="23" t="n">
        <v>5507700000</v>
      </c>
      <c r="E503" s="23" t="n">
        <v>2293600000</v>
      </c>
      <c r="F503" s="23" t="n">
        <v>-567700000</v>
      </c>
      <c r="G503" s="23" t="n">
        <v>850700000</v>
      </c>
      <c r="H503" s="23" t="n">
        <v>-933400000</v>
      </c>
      <c r="I503" s="4" t="n">
        <v>-1.08</v>
      </c>
      <c r="J503" s="23" t="n">
        <v>861300000</v>
      </c>
      <c r="K503" s="23" t="n">
        <v>211700000</v>
      </c>
      <c r="L503" s="23" t="n">
        <v>1370500000</v>
      </c>
      <c r="M503" s="23" t="n">
        <v>-350200000</v>
      </c>
      <c r="N503" s="23" t="n">
        <v>1020300000</v>
      </c>
      <c r="O503" s="23" t="n">
        <v>609800000</v>
      </c>
      <c r="P503" s="23" t="n">
        <v>4401300000</v>
      </c>
      <c r="Q503" s="23" t="n">
        <v>950800000</v>
      </c>
      <c r="R503" s="23" t="n">
        <v>14831400000</v>
      </c>
      <c r="S503" s="4" t="n">
        <v>-62.6851851851852</v>
      </c>
    </row>
    <row r="504" customFormat="false" ht="15" hidden="false" customHeight="false" outlineLevel="0" collapsed="false">
      <c r="A504" s="4" t="s">
        <v>484</v>
      </c>
      <c r="B504" s="4" t="n">
        <v>2023</v>
      </c>
      <c r="C504" s="4" t="s">
        <v>586</v>
      </c>
      <c r="D504" s="23" t="n">
        <v>5919600000</v>
      </c>
      <c r="E504" s="23" t="n">
        <v>2987500000</v>
      </c>
      <c r="F504" s="23" t="n">
        <v>238000000</v>
      </c>
      <c r="G504" s="23" t="n">
        <v>1648000000</v>
      </c>
      <c r="H504" s="23" t="n">
        <v>-163500000</v>
      </c>
      <c r="I504" s="4" t="n">
        <v>-0.19</v>
      </c>
      <c r="J504" s="23" t="n">
        <v>851400000</v>
      </c>
      <c r="K504" s="23" t="n">
        <v>170600000</v>
      </c>
      <c r="L504" s="23" t="n">
        <v>1288800000</v>
      </c>
      <c r="M504" s="23" t="n">
        <v>-217300000</v>
      </c>
      <c r="N504" s="23" t="n">
        <v>1071500000</v>
      </c>
      <c r="O504" s="23" t="n">
        <v>552400000</v>
      </c>
      <c r="P504" s="23" t="n">
        <v>4737500000</v>
      </c>
      <c r="Q504" s="23" t="n">
        <v>911000000</v>
      </c>
      <c r="R504" s="23" t="n">
        <v>15637200000</v>
      </c>
      <c r="S504" s="4" t="n">
        <v>-227.105263157895</v>
      </c>
    </row>
    <row r="505" customFormat="false" ht="15" hidden="false" customHeight="false" outlineLevel="0" collapsed="false">
      <c r="A505" s="4" t="s">
        <v>484</v>
      </c>
      <c r="B505" s="4" t="n">
        <v>2022</v>
      </c>
      <c r="C505" s="4" t="s">
        <v>587</v>
      </c>
      <c r="D505" s="23" t="n">
        <v>4462400000</v>
      </c>
      <c r="E505" s="23" t="n">
        <v>2064200000</v>
      </c>
      <c r="F505" s="23" t="n">
        <v>-347700000</v>
      </c>
      <c r="G505" s="23" t="n">
        <v>901100000</v>
      </c>
      <c r="H505" s="23" t="n">
        <v>-421000000</v>
      </c>
      <c r="I505" s="4" t="n">
        <v>-0.53</v>
      </c>
      <c r="J505" s="23" t="n">
        <v>796855000</v>
      </c>
      <c r="K505" s="23" t="n">
        <v>139300000</v>
      </c>
      <c r="L505" s="23" t="n">
        <v>819300000</v>
      </c>
      <c r="M505" s="23" t="n">
        <v>-186900000</v>
      </c>
      <c r="N505" s="23" t="n">
        <v>632400000</v>
      </c>
      <c r="O505" s="23" t="n">
        <v>460700000</v>
      </c>
      <c r="P505" s="23" t="n">
        <v>4726500000</v>
      </c>
      <c r="Q505" s="23" t="n">
        <v>613500000</v>
      </c>
      <c r="R505" s="23" t="n">
        <v>15702100000</v>
      </c>
      <c r="S505" s="4" t="n">
        <v>-134.716981132076</v>
      </c>
    </row>
    <row r="506" customFormat="false" ht="15" hidden="false" customHeight="false" outlineLevel="0" collapsed="false">
      <c r="A506" s="4" t="s">
        <v>487</v>
      </c>
      <c r="B506" s="4" t="n">
        <v>2025</v>
      </c>
      <c r="C506" s="4" t="s">
        <v>103</v>
      </c>
      <c r="D506" s="23" t="n">
        <v>477233000</v>
      </c>
      <c r="E506" s="23" t="n">
        <v>327816000</v>
      </c>
      <c r="F506" s="23" t="n">
        <v>-40909000</v>
      </c>
      <c r="G506" s="23" t="n">
        <v>-5435469000</v>
      </c>
      <c r="H506" s="23" t="n">
        <v>-3848152000</v>
      </c>
      <c r="I506" s="4" t="n">
        <v>-15.23</v>
      </c>
      <c r="J506" s="23" t="n">
        <v>293998000</v>
      </c>
      <c r="K506" s="23" t="n">
        <v>64968000</v>
      </c>
      <c r="L506" s="23" t="n">
        <v>-67241000</v>
      </c>
      <c r="M506" s="23" t="n">
        <v>-22512295000</v>
      </c>
      <c r="N506" s="23" t="n">
        <v>-22579536000</v>
      </c>
      <c r="O506" s="23" t="n">
        <v>53369000</v>
      </c>
      <c r="P506" s="23" t="n">
        <v>8282425000</v>
      </c>
      <c r="Q506" s="23" t="n">
        <v>2303343000</v>
      </c>
      <c r="R506" s="23" t="n">
        <v>51042972000</v>
      </c>
      <c r="S506" s="4" t="n">
        <v>-10.939524838013</v>
      </c>
    </row>
    <row r="507" customFormat="false" ht="15" hidden="false" customHeight="false" outlineLevel="0" collapsed="false">
      <c r="A507" s="4" t="s">
        <v>487</v>
      </c>
      <c r="B507" s="4" t="n">
        <v>2024</v>
      </c>
      <c r="C507" s="4" t="s">
        <v>572</v>
      </c>
      <c r="D507" s="23" t="n">
        <v>463456000</v>
      </c>
      <c r="E507" s="23" t="n">
        <v>333988000</v>
      </c>
      <c r="F507" s="23" t="n">
        <v>-1852978000</v>
      </c>
      <c r="G507" s="23" t="n">
        <v>-1854597000</v>
      </c>
      <c r="H507" s="23" t="n">
        <v>-1166661000</v>
      </c>
      <c r="I507" s="4" t="n">
        <v>-6.06</v>
      </c>
      <c r="J507" s="23" t="n">
        <v>192549000</v>
      </c>
      <c r="K507" s="23" t="n">
        <v>61941000</v>
      </c>
      <c r="L507" s="23" t="n">
        <v>-53032000</v>
      </c>
      <c r="M507" s="23" t="n">
        <v>-22086237000</v>
      </c>
      <c r="N507" s="23" t="n">
        <v>-22139269000</v>
      </c>
      <c r="O507" s="23" t="n">
        <v>77124000</v>
      </c>
      <c r="P507" s="23" t="n">
        <v>7258462000</v>
      </c>
      <c r="Q507" s="23" t="n">
        <v>38117000</v>
      </c>
      <c r="R507" s="23" t="n">
        <v>18229984000</v>
      </c>
      <c r="S507" s="4" t="n">
        <v>-47.7920792079208</v>
      </c>
    </row>
    <row r="508" customFormat="false" ht="15" hidden="false" customHeight="false" outlineLevel="0" collapsed="false">
      <c r="A508" s="4" t="s">
        <v>487</v>
      </c>
      <c r="B508" s="4" t="n">
        <v>2023</v>
      </c>
      <c r="C508" s="4" t="s">
        <v>573</v>
      </c>
      <c r="D508" s="23" t="n">
        <v>496261000</v>
      </c>
      <c r="E508" s="23" t="n">
        <v>386317000</v>
      </c>
      <c r="F508" s="23" t="n">
        <v>-115047000</v>
      </c>
      <c r="G508" s="23" t="n">
        <v>-61038000</v>
      </c>
      <c r="H508" s="23" t="n">
        <v>429121000</v>
      </c>
      <c r="I508" s="4" t="n">
        <v>2.64</v>
      </c>
      <c r="J508" s="23" t="n">
        <v>165660000</v>
      </c>
      <c r="K508" s="23" t="n">
        <v>48960000</v>
      </c>
      <c r="L508" s="23" t="n">
        <v>12712000</v>
      </c>
      <c r="M508" s="23" t="n">
        <v>-1905237000</v>
      </c>
      <c r="N508" s="23" t="n">
        <v>-1892525000</v>
      </c>
      <c r="O508" s="23" t="n">
        <v>69571000</v>
      </c>
      <c r="P508" s="23" t="n">
        <v>2254140000</v>
      </c>
      <c r="Q508" s="23" t="n">
        <v>46817000</v>
      </c>
      <c r="R508" s="23" t="n">
        <v>2164972000</v>
      </c>
      <c r="S508" s="4" t="n">
        <v>20.1146496815287</v>
      </c>
    </row>
    <row r="509" customFormat="false" ht="15" hidden="false" customHeight="false" outlineLevel="0" collapsed="false">
      <c r="A509" s="4" t="s">
        <v>487</v>
      </c>
      <c r="B509" s="4" t="n">
        <v>2022</v>
      </c>
      <c r="C509" s="4" t="s">
        <v>574</v>
      </c>
      <c r="D509" s="23" t="n">
        <v>499264000</v>
      </c>
      <c r="E509" s="23" t="n">
        <v>396275000</v>
      </c>
      <c r="F509" s="23" t="n">
        <v>-1275742000</v>
      </c>
      <c r="G509" s="23" t="n">
        <v>-1258455000</v>
      </c>
      <c r="H509" s="23" t="n">
        <v>-1469797000</v>
      </c>
      <c r="I509" s="4" t="n">
        <v>-12.98</v>
      </c>
      <c r="J509" s="23" t="n">
        <v>113210000</v>
      </c>
      <c r="K509" s="23" t="n">
        <v>53136000</v>
      </c>
      <c r="L509" s="23" t="n">
        <v>3211000</v>
      </c>
      <c r="M509" s="23" t="n">
        <v>-290407000</v>
      </c>
      <c r="N509" s="23" t="n">
        <v>-287196000</v>
      </c>
      <c r="O509" s="23" t="n">
        <v>63619000</v>
      </c>
      <c r="P509" s="23" t="n">
        <v>2446358000</v>
      </c>
      <c r="Q509" s="23" t="n">
        <v>43835000</v>
      </c>
      <c r="R509" s="23" t="n">
        <v>-383120000</v>
      </c>
      <c r="S509" s="4" t="n">
        <v>-1.09090909090909</v>
      </c>
    </row>
    <row r="510" customFormat="false" ht="15" hidden="false" customHeight="false" outlineLevel="0" collapsed="false">
      <c r="A510" s="4" t="s">
        <v>487</v>
      </c>
      <c r="B510" s="4" t="n">
        <v>2021</v>
      </c>
      <c r="C510" s="4" t="s">
        <v>575</v>
      </c>
      <c r="D510" s="23" t="n">
        <v>510762000</v>
      </c>
      <c r="E510" s="23" t="n">
        <v>418853000</v>
      </c>
      <c r="F510" s="23" t="n">
        <v>-784527000</v>
      </c>
      <c r="G510" s="23" t="n">
        <v>-770882000</v>
      </c>
      <c r="H510" s="23" t="n">
        <v>-535480000</v>
      </c>
      <c r="I510" s="4" t="n">
        <v>-5.34</v>
      </c>
      <c r="J510" s="23" t="n">
        <v>100200000</v>
      </c>
      <c r="K510" s="23" t="n">
        <v>29149000</v>
      </c>
      <c r="L510" s="23" t="n">
        <v>93833000</v>
      </c>
      <c r="M510" s="23" t="n">
        <v>-2629235000</v>
      </c>
      <c r="N510" s="23" t="n">
        <v>-2535402000</v>
      </c>
      <c r="O510" s="23" t="n">
        <v>44126000</v>
      </c>
      <c r="P510" s="23" t="n">
        <v>2231759000</v>
      </c>
      <c r="Q510" s="23" t="n">
        <v>63356000</v>
      </c>
      <c r="R510" s="23" t="n">
        <v>978958000</v>
      </c>
      <c r="S510" s="4" t="n">
        <v>-10.1966292134832</v>
      </c>
    </row>
    <row r="511" customFormat="false" ht="15" hidden="false" customHeight="false" outlineLevel="0" collapsed="false">
      <c r="A511" s="4" t="s">
        <v>490</v>
      </c>
      <c r="B511" s="4" t="n">
        <v>2025</v>
      </c>
      <c r="C511" s="4" t="s">
        <v>103</v>
      </c>
      <c r="D511" s="23" t="n">
        <v>27476000000</v>
      </c>
      <c r="E511" s="23" t="n">
        <v>17255000000</v>
      </c>
      <c r="F511" s="23" t="n">
        <v>8280000000</v>
      </c>
      <c r="G511" s="23" t="n">
        <v>16043000000</v>
      </c>
      <c r="H511" s="23" t="n">
        <v>6834000000</v>
      </c>
      <c r="I511" s="4" t="n">
        <v>3.29</v>
      </c>
      <c r="J511" s="23" t="n">
        <v>2089000000</v>
      </c>
      <c r="K511" s="23" t="n">
        <v>4573000000</v>
      </c>
      <c r="L511" s="23" t="n">
        <v>12485000000</v>
      </c>
      <c r="M511" s="23" t="n">
        <v>-9274000000</v>
      </c>
      <c r="N511" s="23" t="n">
        <v>3211000000</v>
      </c>
      <c r="O511" s="23" t="n">
        <v>0</v>
      </c>
      <c r="P511" s="23" t="n">
        <v>95619000000</v>
      </c>
      <c r="Q511" s="23" t="n">
        <v>2812000000</v>
      </c>
      <c r="R511" s="23" t="n">
        <v>66479000000</v>
      </c>
      <c r="S511" s="4" t="n">
        <v>24.2537764350453</v>
      </c>
    </row>
    <row r="512" customFormat="false" ht="15" hidden="false" customHeight="false" outlineLevel="0" collapsed="false">
      <c r="A512" s="4" t="s">
        <v>490</v>
      </c>
      <c r="B512" s="4" t="n">
        <v>2024</v>
      </c>
      <c r="C512" s="4" t="s">
        <v>572</v>
      </c>
      <c r="D512" s="23" t="n">
        <v>24753000000</v>
      </c>
      <c r="E512" s="23" t="n">
        <v>14867000000</v>
      </c>
      <c r="F512" s="23" t="n">
        <v>7479000000</v>
      </c>
      <c r="G512" s="23" t="n">
        <v>14033000000</v>
      </c>
      <c r="H512" s="23" t="n">
        <v>6946000000</v>
      </c>
      <c r="I512" s="4" t="n">
        <v>3.37</v>
      </c>
      <c r="J512" s="23" t="n">
        <v>2059000000</v>
      </c>
      <c r="K512" s="23" t="n">
        <v>2235000000</v>
      </c>
      <c r="L512" s="23" t="n">
        <v>13260000000</v>
      </c>
      <c r="M512" s="23" t="n">
        <v>-8514000000</v>
      </c>
      <c r="N512" s="23" t="n">
        <v>4746000000</v>
      </c>
      <c r="O512" s="23" t="n">
        <v>0</v>
      </c>
      <c r="P512" s="23" t="n">
        <v>82333000000</v>
      </c>
      <c r="Q512" s="23" t="n">
        <v>1487000000</v>
      </c>
      <c r="R512" s="23" t="n">
        <v>60861000000</v>
      </c>
      <c r="S512" s="4" t="n">
        <v>21.2100591715976</v>
      </c>
    </row>
    <row r="513" customFormat="false" ht="15" hidden="false" customHeight="false" outlineLevel="0" collapsed="false">
      <c r="A513" s="4" t="s">
        <v>490</v>
      </c>
      <c r="B513" s="4" t="n">
        <v>2023</v>
      </c>
      <c r="C513" s="4" t="s">
        <v>573</v>
      </c>
      <c r="D513" s="23" t="n">
        <v>28114000000</v>
      </c>
      <c r="E513" s="23" t="n">
        <v>17976000000</v>
      </c>
      <c r="F513" s="23" t="n">
        <v>10237000000</v>
      </c>
      <c r="G513" s="23" t="n">
        <v>16763000000</v>
      </c>
      <c r="H513" s="23" t="n">
        <v>7310000000</v>
      </c>
      <c r="I513" s="4" t="n">
        <v>3.6</v>
      </c>
      <c r="J513" s="23" t="n">
        <v>2030800000</v>
      </c>
      <c r="K513" s="23" t="n">
        <v>3324000000</v>
      </c>
      <c r="L513" s="23" t="n">
        <v>11301000000</v>
      </c>
      <c r="M513" s="23" t="n">
        <v>-9548000000</v>
      </c>
      <c r="N513" s="23" t="n">
        <v>1753000000</v>
      </c>
      <c r="O513" s="23" t="n">
        <v>0</v>
      </c>
      <c r="P513" s="23" t="n">
        <v>73211000000</v>
      </c>
      <c r="Q513" s="23" t="n">
        <v>2690000000</v>
      </c>
      <c r="R513" s="23" t="n">
        <v>59024000000</v>
      </c>
      <c r="S513" s="4" t="n">
        <v>16.8254847645429</v>
      </c>
    </row>
    <row r="514" customFormat="false" ht="15" hidden="false" customHeight="false" outlineLevel="0" collapsed="false">
      <c r="A514" s="4" t="s">
        <v>490</v>
      </c>
      <c r="B514" s="4" t="n">
        <v>2022</v>
      </c>
      <c r="C514" s="4" t="s">
        <v>574</v>
      </c>
      <c r="D514" s="23" t="n">
        <v>20956000000</v>
      </c>
      <c r="E514" s="23" t="n">
        <v>10139000000</v>
      </c>
      <c r="F514" s="23" t="n">
        <v>4081000000</v>
      </c>
      <c r="G514" s="23" t="n">
        <v>9207000000</v>
      </c>
      <c r="H514" s="23" t="n">
        <v>4147000000</v>
      </c>
      <c r="I514" s="4" t="n">
        <v>2.0959</v>
      </c>
      <c r="J514" s="23" t="n">
        <v>1978600000</v>
      </c>
      <c r="K514" s="23" t="n">
        <v>585000000</v>
      </c>
      <c r="L514" s="23" t="n">
        <v>8262000000</v>
      </c>
      <c r="M514" s="23" t="n">
        <v>-9742000000</v>
      </c>
      <c r="N514" s="23" t="n">
        <v>-1480000000</v>
      </c>
      <c r="O514" s="23" t="n">
        <v>142000000</v>
      </c>
      <c r="P514" s="23" t="n">
        <v>64966000000</v>
      </c>
      <c r="Q514" s="23" t="n">
        <v>1601000000</v>
      </c>
      <c r="R514" s="23" t="n">
        <v>49436000000</v>
      </c>
      <c r="S514" s="4" t="n">
        <v>39.7659706036246</v>
      </c>
    </row>
    <row r="515" customFormat="false" ht="15" hidden="false" customHeight="false" outlineLevel="0" collapsed="false">
      <c r="A515" s="4" t="s">
        <v>490</v>
      </c>
      <c r="B515" s="4" t="n">
        <v>2021</v>
      </c>
      <c r="C515" s="4" t="s">
        <v>575</v>
      </c>
      <c r="D515" s="23" t="n">
        <v>17069000000</v>
      </c>
      <c r="E515" s="23" t="n">
        <v>8561000000</v>
      </c>
      <c r="F515" s="23" t="n">
        <v>2913000000</v>
      </c>
      <c r="G515" s="23" t="n">
        <v>8659000000</v>
      </c>
      <c r="H515" s="23" t="n">
        <v>3573000000</v>
      </c>
      <c r="I515" s="4" t="n">
        <v>1.8117</v>
      </c>
      <c r="J515" s="23" t="n">
        <v>1972200000</v>
      </c>
      <c r="K515" s="23" t="n">
        <v>1270000000</v>
      </c>
      <c r="L515" s="23" t="n">
        <v>7553000000</v>
      </c>
      <c r="M515" s="23" t="n">
        <v>-7830000000</v>
      </c>
      <c r="N515" s="23" t="n">
        <v>-277000000</v>
      </c>
      <c r="O515" s="23" t="n">
        <v>0</v>
      </c>
      <c r="P515" s="23" t="n">
        <v>54827000000</v>
      </c>
      <c r="Q515" s="23" t="n">
        <v>639000000</v>
      </c>
      <c r="R515" s="23" t="n">
        <v>45669000000</v>
      </c>
      <c r="S515" s="4" t="n">
        <v>51.2797978688345</v>
      </c>
    </row>
    <row r="516" customFormat="false" ht="15" hidden="false" customHeight="false" outlineLevel="0" collapsed="false">
      <c r="A516" s="4" t="s">
        <v>494</v>
      </c>
      <c r="B516" s="4" t="n">
        <v>2026</v>
      </c>
      <c r="C516" s="4" t="s">
        <v>496</v>
      </c>
      <c r="D516" s="23" t="n">
        <v>67358000000</v>
      </c>
      <c r="E516" s="23" t="n">
        <v>43916000000</v>
      </c>
      <c r="F516" s="23" t="n">
        <v>20778000000</v>
      </c>
      <c r="G516" s="23" t="n">
        <v>33488000000</v>
      </c>
      <c r="H516" s="23" t="n">
        <v>17087000000</v>
      </c>
      <c r="I516" s="4" t="n">
        <v>5.83</v>
      </c>
      <c r="J516" s="23" t="n">
        <v>2915000000</v>
      </c>
      <c r="K516" s="23" t="n">
        <v>4598000000</v>
      </c>
      <c r="L516" s="23" t="n">
        <v>31977000000</v>
      </c>
      <c r="M516" s="23" t="n">
        <v>-55663000000</v>
      </c>
      <c r="N516" s="23" t="n">
        <v>-23686000000</v>
      </c>
      <c r="O516" s="23" t="n">
        <v>4811000000</v>
      </c>
      <c r="P516" s="23" t="n">
        <v>156189000000</v>
      </c>
      <c r="Q516" s="23" t="n">
        <v>31894000000</v>
      </c>
      <c r="R516" s="23" t="n">
        <v>43056000000</v>
      </c>
      <c r="S516" s="4" t="n">
        <v>41.7760942760943</v>
      </c>
    </row>
    <row r="517" customFormat="false" ht="15" hidden="false" customHeight="false" outlineLevel="0" collapsed="false">
      <c r="A517" s="4" t="s">
        <v>494</v>
      </c>
      <c r="B517" s="4" t="n">
        <v>2025</v>
      </c>
      <c r="C517" s="4" t="s">
        <v>651</v>
      </c>
      <c r="D517" s="23" t="n">
        <v>57399000000</v>
      </c>
      <c r="E517" s="23" t="n">
        <v>40472000000</v>
      </c>
      <c r="F517" s="23" t="n">
        <v>17678000000</v>
      </c>
      <c r="G517" s="23" t="n">
        <v>23912000000</v>
      </c>
      <c r="H517" s="23" t="n">
        <v>12443000000</v>
      </c>
      <c r="I517" s="4" t="n">
        <v>4.34</v>
      </c>
      <c r="J517" s="23" t="n">
        <v>2866000000</v>
      </c>
      <c r="K517" s="23" t="n">
        <v>3578000000</v>
      </c>
      <c r="L517" s="23" t="n">
        <v>20821000000</v>
      </c>
      <c r="M517" s="23" t="n">
        <v>-21215000000</v>
      </c>
      <c r="N517" s="23" t="n">
        <v>-394000000</v>
      </c>
      <c r="O517" s="23" t="n">
        <v>4674000000</v>
      </c>
      <c r="P517" s="23" t="n">
        <v>104104000000</v>
      </c>
      <c r="Q517" s="23" t="n">
        <v>11203000000</v>
      </c>
      <c r="R517" s="23" t="n">
        <v>20969000000</v>
      </c>
      <c r="S517" s="4" t="n">
        <v>37.1143497757848</v>
      </c>
    </row>
    <row r="518" customFormat="false" ht="15" hidden="false" customHeight="false" outlineLevel="0" collapsed="false">
      <c r="A518" s="4" t="s">
        <v>494</v>
      </c>
      <c r="B518" s="4" t="n">
        <v>2024</v>
      </c>
      <c r="C518" s="4" t="s">
        <v>652</v>
      </c>
      <c r="D518" s="23" t="n">
        <v>52961000000</v>
      </c>
      <c r="E518" s="23" t="n">
        <v>37818000000</v>
      </c>
      <c r="F518" s="23" t="n">
        <v>15353000000</v>
      </c>
      <c r="G518" s="23" t="n">
        <v>21394000000</v>
      </c>
      <c r="H518" s="23" t="n">
        <v>10467000000</v>
      </c>
      <c r="I518" s="4" t="n">
        <v>3.71</v>
      </c>
      <c r="J518" s="23" t="n">
        <v>2823000000</v>
      </c>
      <c r="K518" s="23" t="n">
        <v>3514000000</v>
      </c>
      <c r="L518" s="23" t="n">
        <v>18673000000</v>
      </c>
      <c r="M518" s="23" t="n">
        <v>-6866000000</v>
      </c>
      <c r="N518" s="23" t="n">
        <v>11807000000</v>
      </c>
      <c r="O518" s="23" t="n">
        <v>3974000000</v>
      </c>
      <c r="P518" s="23" t="n">
        <v>94469000000</v>
      </c>
      <c r="Q518" s="23" t="n">
        <v>10661000000</v>
      </c>
      <c r="R518" s="23" t="n">
        <v>9239000000</v>
      </c>
      <c r="S518" s="4" t="n">
        <v>30.758530183727</v>
      </c>
    </row>
    <row r="519" customFormat="false" ht="15" hidden="false" customHeight="false" outlineLevel="0" collapsed="false">
      <c r="A519" s="4" t="s">
        <v>494</v>
      </c>
      <c r="B519" s="4" t="n">
        <v>2023</v>
      </c>
      <c r="C519" s="4" t="s">
        <v>653</v>
      </c>
      <c r="D519" s="23" t="n">
        <v>49954000000</v>
      </c>
      <c r="E519" s="23" t="n">
        <v>36390000000</v>
      </c>
      <c r="F519" s="23" t="n">
        <v>13093000000</v>
      </c>
      <c r="G519" s="23" t="n">
        <v>18739000000</v>
      </c>
      <c r="H519" s="23" t="n">
        <v>8503000000</v>
      </c>
      <c r="I519" s="4" t="n">
        <v>3.07</v>
      </c>
      <c r="J519" s="23" t="n">
        <v>2766000000</v>
      </c>
      <c r="K519" s="23" t="n">
        <v>3505000000</v>
      </c>
      <c r="L519" s="23" t="n">
        <v>17165000000</v>
      </c>
      <c r="M519" s="23" t="n">
        <v>-8695000000</v>
      </c>
      <c r="N519" s="23" t="n">
        <v>8470000000</v>
      </c>
      <c r="O519" s="23" t="n">
        <v>3547000000</v>
      </c>
      <c r="P519" s="23" t="n">
        <v>90481000000</v>
      </c>
      <c r="Q519" s="23" t="n">
        <v>10187000000</v>
      </c>
      <c r="R519" s="23" t="n">
        <v>1556000000</v>
      </c>
      <c r="S519" s="4" t="n">
        <v>33.631746031746</v>
      </c>
    </row>
    <row r="520" customFormat="false" ht="15" hidden="false" customHeight="false" outlineLevel="0" collapsed="false">
      <c r="A520" s="4" t="s">
        <v>494</v>
      </c>
      <c r="B520" s="4" t="n">
        <v>2022</v>
      </c>
      <c r="C520" s="4" t="s">
        <v>654</v>
      </c>
      <c r="D520" s="23" t="n">
        <v>42440000000</v>
      </c>
      <c r="E520" s="23" t="n">
        <v>33563000000</v>
      </c>
      <c r="F520" s="23" t="n">
        <v>10926000000</v>
      </c>
      <c r="G520" s="23" t="n">
        <v>13526000000</v>
      </c>
      <c r="H520" s="23" t="n">
        <v>6717000000</v>
      </c>
      <c r="I520" s="4" t="n">
        <v>2.41</v>
      </c>
      <c r="J520" s="23" t="n">
        <v>2786000000</v>
      </c>
      <c r="K520" s="23" t="n">
        <v>2755000000</v>
      </c>
      <c r="L520" s="23" t="n">
        <v>9539000000</v>
      </c>
      <c r="M520" s="23" t="n">
        <v>-4511000000</v>
      </c>
      <c r="N520" s="23" t="n">
        <v>5028000000</v>
      </c>
      <c r="O520" s="23" t="n">
        <v>2613000000</v>
      </c>
      <c r="P520" s="23" t="n">
        <v>75859000000</v>
      </c>
      <c r="Q520" s="23" t="n">
        <v>21902000000</v>
      </c>
      <c r="R520" s="23" t="n">
        <v>-5768000000</v>
      </c>
      <c r="S520" s="4" t="n">
        <v>28.8835341365462</v>
      </c>
    </row>
    <row r="521" customFormat="false" ht="15" hidden="false" customHeight="false" outlineLevel="0" collapsed="false">
      <c r="A521" s="4" t="s">
        <v>498</v>
      </c>
      <c r="B521" s="4" t="n">
        <v>2026</v>
      </c>
      <c r="C521" s="4" t="s">
        <v>187</v>
      </c>
      <c r="D521" s="23" t="n">
        <v>11480000000</v>
      </c>
      <c r="E521" s="23" t="n">
        <v>8077000000</v>
      </c>
      <c r="F521" s="23" t="n">
        <v>695000000</v>
      </c>
      <c r="G521" s="23" t="n">
        <v>1391000000</v>
      </c>
      <c r="H521" s="23" t="n">
        <v>307000000</v>
      </c>
      <c r="I521" s="4" t="n">
        <v>0.44</v>
      </c>
      <c r="J521" s="23" t="n">
        <v>764000000</v>
      </c>
      <c r="K521" s="23" t="n">
        <v>0</v>
      </c>
      <c r="L521" s="23" t="n">
        <v>4553000000</v>
      </c>
      <c r="M521" s="23" t="n">
        <v>-440000000</v>
      </c>
      <c r="N521" s="23" t="n">
        <v>4113000000</v>
      </c>
      <c r="O521" s="23" t="n">
        <v>1774000000</v>
      </c>
      <c r="P521" s="23" t="n">
        <v>2500000000</v>
      </c>
      <c r="Q521" s="23" t="n">
        <v>3071000000</v>
      </c>
      <c r="R521" s="23" t="n">
        <v>27492000000</v>
      </c>
      <c r="S521" s="4" t="n">
        <v>721.369565217391</v>
      </c>
    </row>
    <row r="522" customFormat="false" ht="15" hidden="false" customHeight="false" outlineLevel="0" collapsed="false">
      <c r="A522" s="4" t="s">
        <v>498</v>
      </c>
      <c r="B522" s="4" t="n">
        <v>2025</v>
      </c>
      <c r="C522" s="4" t="s">
        <v>592</v>
      </c>
      <c r="D522" s="23" t="n">
        <v>9221500000</v>
      </c>
      <c r="E522" s="23" t="n">
        <v>6769900000</v>
      </c>
      <c r="F522" s="23" t="n">
        <v>1242900000</v>
      </c>
      <c r="G522" s="23" t="n">
        <v>1940600000</v>
      </c>
      <c r="H522" s="23" t="n">
        <v>1133900000</v>
      </c>
      <c r="I522" s="4" t="n">
        <v>1.6</v>
      </c>
      <c r="J522" s="23" t="n">
        <v>709300000</v>
      </c>
      <c r="K522" s="23" t="n">
        <v>3000000</v>
      </c>
      <c r="L522" s="23" t="n">
        <v>3716000000</v>
      </c>
      <c r="M522" s="23" t="n">
        <v>-246200000</v>
      </c>
      <c r="N522" s="23" t="n">
        <v>3469800000</v>
      </c>
      <c r="O522" s="23" t="n">
        <v>1295100000</v>
      </c>
      <c r="P522" s="23" t="n">
        <v>338200000</v>
      </c>
      <c r="Q522" s="23" t="n">
        <v>2903200000</v>
      </c>
      <c r="R522" s="23" t="n">
        <v>7824400000</v>
      </c>
      <c r="S522" s="4" t="n">
        <v>101.520467836257</v>
      </c>
    </row>
    <row r="523" customFormat="false" ht="15" hidden="false" customHeight="false" outlineLevel="0" collapsed="false">
      <c r="A523" s="4" t="s">
        <v>498</v>
      </c>
      <c r="B523" s="4" t="n">
        <v>2024</v>
      </c>
      <c r="C523" s="4" t="s">
        <v>593</v>
      </c>
      <c r="D523" s="23" t="n">
        <v>8027500000</v>
      </c>
      <c r="E523" s="23" t="n">
        <v>5968300000</v>
      </c>
      <c r="F523" s="23" t="n">
        <v>683900000</v>
      </c>
      <c r="G523" s="23" t="n">
        <v>1276400000</v>
      </c>
      <c r="H523" s="23" t="n">
        <v>2577600000</v>
      </c>
      <c r="I523" s="4" t="n">
        <v>3.64</v>
      </c>
      <c r="J523" s="23" t="n">
        <v>708000000</v>
      </c>
      <c r="K523" s="23" t="n">
        <v>8300000</v>
      </c>
      <c r="L523" s="23" t="n">
        <v>3257600000</v>
      </c>
      <c r="M523" s="23" t="n">
        <v>-156800000</v>
      </c>
      <c r="N523" s="23" t="n">
        <v>3100800000</v>
      </c>
      <c r="O523" s="23" t="n">
        <v>1075400000</v>
      </c>
      <c r="P523" s="23" t="n">
        <v>1344400000</v>
      </c>
      <c r="Q523" s="23" t="n">
        <v>2578800000</v>
      </c>
      <c r="R523" s="23" t="n">
        <v>5169700000</v>
      </c>
      <c r="S523" s="4" t="n">
        <v>40.1905940594059</v>
      </c>
    </row>
    <row r="524" customFormat="false" ht="15" hidden="false" customHeight="false" outlineLevel="0" collapsed="false">
      <c r="A524" s="4" t="s">
        <v>498</v>
      </c>
      <c r="B524" s="4" t="n">
        <v>2023</v>
      </c>
      <c r="C524" s="4" t="s">
        <v>594</v>
      </c>
      <c r="D524" s="23" t="n">
        <v>6892700000</v>
      </c>
      <c r="E524" s="23" t="n">
        <v>4983000000</v>
      </c>
      <c r="F524" s="23" t="n">
        <v>387300000</v>
      </c>
      <c r="G524" s="23" t="n">
        <v>869000000</v>
      </c>
      <c r="H524" s="23" t="n">
        <v>439700000</v>
      </c>
      <c r="I524" s="4" t="n">
        <v>0.64</v>
      </c>
      <c r="J524" s="23" t="n">
        <v>684600000</v>
      </c>
      <c r="K524" s="23" t="n">
        <v>27200000</v>
      </c>
      <c r="L524" s="23" t="n">
        <v>2777500000</v>
      </c>
      <c r="M524" s="23" t="n">
        <v>-146300000</v>
      </c>
      <c r="N524" s="23" t="n">
        <v>2631200000</v>
      </c>
      <c r="O524" s="23" t="n">
        <v>1074500000</v>
      </c>
      <c r="P524" s="23" t="n">
        <v>2270700000</v>
      </c>
      <c r="Q524" s="23" t="n">
        <v>2390000000</v>
      </c>
      <c r="R524" s="23" t="n">
        <v>1748400000</v>
      </c>
      <c r="S524" s="4" t="n">
        <v>171.205479452055</v>
      </c>
    </row>
    <row r="525" customFormat="false" ht="15" hidden="false" customHeight="false" outlineLevel="0" collapsed="false">
      <c r="A525" s="4" t="s">
        <v>498</v>
      </c>
      <c r="B525" s="4" t="n">
        <v>2022</v>
      </c>
      <c r="C525" s="4" t="s">
        <v>595</v>
      </c>
      <c r="D525" s="23" t="n">
        <v>5501500000</v>
      </c>
      <c r="E525" s="23" t="n">
        <v>3782800000</v>
      </c>
      <c r="F525" s="23" t="n">
        <v>-188800000</v>
      </c>
      <c r="G525" s="23" t="n">
        <v>95600000</v>
      </c>
      <c r="H525" s="23" t="n">
        <v>-267000000</v>
      </c>
      <c r="I525" s="4" t="n">
        <v>-0.45</v>
      </c>
      <c r="J525" s="23" t="n">
        <v>590999988</v>
      </c>
      <c r="K525" s="23" t="n">
        <v>27400000</v>
      </c>
      <c r="L525" s="23" t="n">
        <v>1984700000</v>
      </c>
      <c r="M525" s="23" t="n">
        <v>-192800000</v>
      </c>
      <c r="N525" s="23" t="n">
        <v>1791900000</v>
      </c>
      <c r="O525" s="23" t="n">
        <v>1011100000</v>
      </c>
      <c r="P525" s="23" t="n">
        <v>3952900000</v>
      </c>
      <c r="Q525" s="23" t="n">
        <v>3634500000</v>
      </c>
      <c r="R525" s="23" t="n">
        <v>210000000</v>
      </c>
      <c r="S525" s="4" t="n">
        <v>-188.022222222222</v>
      </c>
    </row>
    <row r="526" customFormat="false" ht="15" hidden="false" customHeight="false" outlineLevel="0" collapsed="false">
      <c r="A526" s="4" t="s">
        <v>501</v>
      </c>
      <c r="B526" s="4" t="n">
        <v>2025</v>
      </c>
      <c r="C526" s="4" t="s">
        <v>103</v>
      </c>
      <c r="D526" s="23" t="n">
        <v>8790127000</v>
      </c>
      <c r="E526" s="23" t="n">
        <v>5238724000</v>
      </c>
      <c r="F526" s="23" t="n">
        <v>3536073000</v>
      </c>
      <c r="G526" s="23" t="n">
        <v>7199053000</v>
      </c>
      <c r="H526" s="23" t="n">
        <v>3410663000</v>
      </c>
      <c r="I526" s="4" t="n">
        <v>3.54</v>
      </c>
      <c r="J526" s="23" t="n">
        <v>958019000</v>
      </c>
      <c r="K526" s="23" t="n">
        <v>1002593000</v>
      </c>
      <c r="L526" s="23" t="n">
        <v>5008434000</v>
      </c>
      <c r="M526" s="23" t="n">
        <v>0</v>
      </c>
      <c r="N526" s="23" t="n">
        <v>5008434000</v>
      </c>
      <c r="O526" s="23" t="n">
        <v>185466000</v>
      </c>
      <c r="P526" s="23" t="n">
        <v>35037073000</v>
      </c>
      <c r="Q526" s="23" t="n">
        <v>1145647000</v>
      </c>
      <c r="R526" s="23" t="n">
        <v>57754008000</v>
      </c>
      <c r="S526" s="4" t="n">
        <v>35.7591036414566</v>
      </c>
    </row>
    <row r="527" customFormat="false" ht="15" hidden="false" customHeight="false" outlineLevel="0" collapsed="false">
      <c r="A527" s="4" t="s">
        <v>501</v>
      </c>
      <c r="B527" s="4" t="n">
        <v>2024</v>
      </c>
      <c r="C527" s="4" t="s">
        <v>572</v>
      </c>
      <c r="D527" s="23" t="n">
        <v>8201610000</v>
      </c>
      <c r="E527" s="23" t="n">
        <v>6144369000</v>
      </c>
      <c r="F527" s="23" t="n">
        <v>4415920000</v>
      </c>
      <c r="G527" s="23" t="n">
        <v>7532693000</v>
      </c>
      <c r="H527" s="23" t="n">
        <v>3731635000</v>
      </c>
      <c r="I527" s="4" t="n">
        <v>4.01</v>
      </c>
      <c r="J527" s="23" t="n">
        <v>953590000</v>
      </c>
      <c r="K527" s="23" t="n">
        <v>837296000</v>
      </c>
      <c r="L527" s="23" t="n">
        <v>4912209000</v>
      </c>
      <c r="M527" s="23" t="n">
        <v>0</v>
      </c>
      <c r="N527" s="23" t="n">
        <v>4912209000</v>
      </c>
      <c r="O527" s="23" t="n">
        <v>231747000</v>
      </c>
      <c r="P527" s="23" t="n">
        <v>31494568000</v>
      </c>
      <c r="Q527" s="23" t="n">
        <v>1318591000</v>
      </c>
      <c r="R527" s="23" t="n">
        <v>58616770000</v>
      </c>
      <c r="S527" s="4" t="n">
        <v>26.2282878411911</v>
      </c>
    </row>
    <row r="528" customFormat="false" ht="15" hidden="false" customHeight="false" outlineLevel="0" collapsed="false">
      <c r="A528" s="4" t="s">
        <v>501</v>
      </c>
      <c r="B528" s="4" t="n">
        <v>2023</v>
      </c>
      <c r="C528" s="4" t="s">
        <v>573</v>
      </c>
      <c r="D528" s="23" t="n">
        <v>8023469000</v>
      </c>
      <c r="E528" s="23" t="n">
        <v>6013134000</v>
      </c>
      <c r="F528" s="23" t="n">
        <v>3707792000</v>
      </c>
      <c r="G528" s="23" t="n">
        <v>6567797000</v>
      </c>
      <c r="H528" s="23" t="n">
        <v>3059214000</v>
      </c>
      <c r="I528" s="4" t="n">
        <v>3.29</v>
      </c>
      <c r="J528" s="23" t="n">
        <v>951791000</v>
      </c>
      <c r="K528" s="23" t="n">
        <v>618723000</v>
      </c>
      <c r="L528" s="23" t="n">
        <v>5373058000</v>
      </c>
      <c r="M528" s="23" t="n">
        <v>0</v>
      </c>
      <c r="N528" s="23" t="n">
        <v>5373058000</v>
      </c>
      <c r="O528" s="23" t="n">
        <v>267648000</v>
      </c>
      <c r="P528" s="23" t="n">
        <v>29598064000</v>
      </c>
      <c r="Q528" s="23" t="n">
        <v>530388000</v>
      </c>
      <c r="R528" s="23" t="n">
        <v>57823720000</v>
      </c>
      <c r="S528" s="4" t="n">
        <v>40.3939393939394</v>
      </c>
    </row>
    <row r="529" customFormat="false" ht="15" hidden="false" customHeight="false" outlineLevel="0" collapsed="false">
      <c r="A529" s="4" t="s">
        <v>501</v>
      </c>
      <c r="B529" s="4" t="n">
        <v>2022</v>
      </c>
      <c r="C529" s="4" t="s">
        <v>574</v>
      </c>
      <c r="D529" s="23" t="n">
        <v>5973692000</v>
      </c>
      <c r="E529" s="23" t="n">
        <v>4464598000</v>
      </c>
      <c r="F529" s="23" t="n">
        <v>3467538000</v>
      </c>
      <c r="G529" s="23" t="n">
        <v>5795490000</v>
      </c>
      <c r="H529" s="23" t="n">
        <v>3364856000</v>
      </c>
      <c r="I529" s="4" t="n">
        <v>4.13</v>
      </c>
      <c r="J529" s="23" t="n">
        <v>834843000</v>
      </c>
      <c r="K529" s="23" t="n">
        <v>309037000</v>
      </c>
      <c r="L529" s="23" t="n">
        <v>4126430000</v>
      </c>
      <c r="M529" s="23" t="n">
        <v>-550592000</v>
      </c>
      <c r="N529" s="23" t="n">
        <v>3575838000</v>
      </c>
      <c r="O529" s="23" t="n">
        <v>175356000</v>
      </c>
      <c r="P529" s="23" t="n">
        <v>24514772000</v>
      </c>
      <c r="Q529" s="23" t="n">
        <v>278483000</v>
      </c>
      <c r="R529" s="23" t="n">
        <v>57863093000</v>
      </c>
      <c r="S529" s="4" t="n">
        <v>27.1638554216867</v>
      </c>
    </row>
    <row r="530" customFormat="false" ht="15" hidden="false" customHeight="false" outlineLevel="0" collapsed="false">
      <c r="A530" s="4" t="s">
        <v>501</v>
      </c>
      <c r="B530" s="4" t="n">
        <v>2021</v>
      </c>
      <c r="C530" s="4" t="s">
        <v>575</v>
      </c>
      <c r="D530" s="23" t="n">
        <v>4759440000</v>
      </c>
      <c r="E530" s="23" t="n">
        <v>3510953000</v>
      </c>
      <c r="F530" s="23" t="n">
        <v>3206996000</v>
      </c>
      <c r="G530" s="23" t="n">
        <v>5150884000</v>
      </c>
      <c r="H530" s="23" t="n">
        <v>2939723000</v>
      </c>
      <c r="I530" s="4" t="n">
        <v>3.84</v>
      </c>
      <c r="J530" s="23" t="n">
        <v>785711000</v>
      </c>
      <c r="K530" s="23" t="n">
        <v>266228000</v>
      </c>
      <c r="L530" s="23" t="n">
        <v>2996042000</v>
      </c>
      <c r="M530" s="23" t="n">
        <v>-498992000</v>
      </c>
      <c r="N530" s="23" t="n">
        <v>2497050000</v>
      </c>
      <c r="O530" s="23" t="n">
        <v>113028000</v>
      </c>
      <c r="P530" s="23" t="n">
        <v>18163499000</v>
      </c>
      <c r="Q530" s="23" t="n">
        <v>556117000</v>
      </c>
      <c r="R530" s="23" t="n">
        <v>37742210000</v>
      </c>
      <c r="S530" s="4" t="n">
        <v>43.6165803108808</v>
      </c>
    </row>
    <row r="531" customFormat="false" ht="15" hidden="false" customHeight="false" outlineLevel="0" collapsed="false">
      <c r="A531" s="4" t="s">
        <v>504</v>
      </c>
      <c r="B531" s="4" t="n">
        <v>2025</v>
      </c>
      <c r="C531" s="4" t="s">
        <v>103</v>
      </c>
      <c r="D531" s="23" t="n">
        <v>4475446000</v>
      </c>
      <c r="E531" s="23" t="n">
        <v>3686269000</v>
      </c>
      <c r="F531" s="23" t="n">
        <v>1414015000</v>
      </c>
      <c r="G531" s="23" t="n">
        <v>1683513000</v>
      </c>
      <c r="H531" s="23" t="n">
        <v>1625033000</v>
      </c>
      <c r="I531" s="4" t="n">
        <v>0.63</v>
      </c>
      <c r="J531" s="23" t="n">
        <v>2565197000</v>
      </c>
      <c r="K531" s="23" t="n">
        <v>0</v>
      </c>
      <c r="L531" s="23" t="n">
        <v>2134473000</v>
      </c>
      <c r="M531" s="23" t="n">
        <v>-33882000</v>
      </c>
      <c r="N531" s="23" t="n">
        <v>2100591000</v>
      </c>
      <c r="O531" s="23" t="n">
        <v>684033000</v>
      </c>
      <c r="P531" s="23" t="n">
        <v>229338000</v>
      </c>
      <c r="Q531" s="23" t="n">
        <v>7177043000</v>
      </c>
      <c r="R531" s="23" t="n">
        <v>7488011000</v>
      </c>
      <c r="S531" s="4" t="n">
        <v>257.608695652174</v>
      </c>
    </row>
    <row r="532" customFormat="false" ht="15" hidden="false" customHeight="false" outlineLevel="0" collapsed="false">
      <c r="A532" s="4" t="s">
        <v>504</v>
      </c>
      <c r="B532" s="4" t="n">
        <v>2024</v>
      </c>
      <c r="C532" s="4" t="s">
        <v>572</v>
      </c>
      <c r="D532" s="23" t="n">
        <v>2865507000</v>
      </c>
      <c r="E532" s="23" t="n">
        <v>2299517000</v>
      </c>
      <c r="F532" s="23" t="n">
        <v>310403000</v>
      </c>
      <c r="G532" s="23" t="n">
        <v>520760000</v>
      </c>
      <c r="H532" s="23" t="n">
        <v>462190000</v>
      </c>
      <c r="I532" s="4" t="n">
        <v>0.19</v>
      </c>
      <c r="J532" s="23" t="n">
        <v>2450818000</v>
      </c>
      <c r="K532" s="23" t="n">
        <v>0</v>
      </c>
      <c r="L532" s="23" t="n">
        <v>1153865000</v>
      </c>
      <c r="M532" s="23" t="n">
        <v>-12634000</v>
      </c>
      <c r="N532" s="23" t="n">
        <v>1141231000</v>
      </c>
      <c r="O532" s="23" t="n">
        <v>691638000</v>
      </c>
      <c r="P532" s="23" t="n">
        <v>239219000</v>
      </c>
      <c r="Q532" s="23" t="n">
        <v>5229987000</v>
      </c>
      <c r="R532" s="23" t="n">
        <v>5094407000</v>
      </c>
      <c r="S532" s="4" t="n">
        <v>360.142857142857</v>
      </c>
    </row>
    <row r="533" customFormat="false" ht="15" hidden="false" customHeight="false" outlineLevel="0" collapsed="false">
      <c r="A533" s="4" t="s">
        <v>504</v>
      </c>
      <c r="B533" s="4" t="n">
        <v>2023</v>
      </c>
      <c r="C533" s="4" t="s">
        <v>573</v>
      </c>
      <c r="D533" s="23" t="n">
        <v>2225012000</v>
      </c>
      <c r="E533" s="23" t="n">
        <v>1793907000</v>
      </c>
      <c r="F533" s="23" t="n">
        <v>119966000</v>
      </c>
      <c r="G533" s="23" t="n">
        <v>273915000</v>
      </c>
      <c r="H533" s="23" t="n">
        <v>209825000</v>
      </c>
      <c r="I533" s="4" t="n">
        <v>0.0913</v>
      </c>
      <c r="J533" s="23" t="n">
        <v>2297927000</v>
      </c>
      <c r="K533" s="23" t="n">
        <v>3470000</v>
      </c>
      <c r="L533" s="23" t="n">
        <v>712183000</v>
      </c>
      <c r="M533" s="23" t="n">
        <v>-15114000</v>
      </c>
      <c r="N533" s="23" t="n">
        <v>697069000</v>
      </c>
      <c r="O533" s="23" t="n">
        <v>475903000</v>
      </c>
      <c r="P533" s="23" t="n">
        <v>229392000</v>
      </c>
      <c r="Q533" s="23" t="n">
        <v>3674179000</v>
      </c>
      <c r="R533" s="23" t="n">
        <v>3560965000</v>
      </c>
      <c r="S533" s="4" t="n">
        <v>175.742067553736</v>
      </c>
    </row>
    <row r="534" customFormat="false" ht="15" hidden="false" customHeight="false" outlineLevel="0" collapsed="false">
      <c r="A534" s="4" t="s">
        <v>504</v>
      </c>
      <c r="B534" s="4" t="n">
        <v>2022</v>
      </c>
      <c r="C534" s="4" t="s">
        <v>574</v>
      </c>
      <c r="D534" s="23" t="n">
        <v>1905871000</v>
      </c>
      <c r="E534" s="23" t="n">
        <v>1497322000</v>
      </c>
      <c r="F534" s="23" t="n">
        <v>-161201000</v>
      </c>
      <c r="G534" s="23" t="n">
        <v>-334447000</v>
      </c>
      <c r="H534" s="23" t="n">
        <v>-373705000</v>
      </c>
      <c r="I534" s="4" t="n">
        <v>-0.18</v>
      </c>
      <c r="J534" s="23" t="n">
        <v>2063793000</v>
      </c>
      <c r="K534" s="23" t="n">
        <v>4058000</v>
      </c>
      <c r="L534" s="23" t="n">
        <v>223737000</v>
      </c>
      <c r="M534" s="23" t="n">
        <v>-40027000</v>
      </c>
      <c r="N534" s="23" t="n">
        <v>183710000</v>
      </c>
      <c r="O534" s="23" t="n">
        <v>564798000</v>
      </c>
      <c r="P534" s="23" t="n">
        <v>249404000</v>
      </c>
      <c r="Q534" s="23" t="n">
        <v>2633675000</v>
      </c>
      <c r="R534" s="23" t="n">
        <v>2642437000</v>
      </c>
      <c r="S534" s="4" t="n">
        <v>-35.6666666666667</v>
      </c>
    </row>
    <row r="535" customFormat="false" ht="15" hidden="false" customHeight="false" outlineLevel="0" collapsed="false">
      <c r="A535" s="4" t="s">
        <v>504</v>
      </c>
      <c r="B535" s="4" t="n">
        <v>2021</v>
      </c>
      <c r="C535" s="4" t="s">
        <v>575</v>
      </c>
      <c r="D535" s="23" t="n">
        <v>1541889000</v>
      </c>
      <c r="E535" s="23" t="n">
        <v>1202485000</v>
      </c>
      <c r="F535" s="23" t="n">
        <v>-411046000</v>
      </c>
      <c r="G535" s="23" t="n">
        <v>-469957000</v>
      </c>
      <c r="H535" s="23" t="n">
        <v>-520379000</v>
      </c>
      <c r="I535" s="4" t="n">
        <v>-0.27</v>
      </c>
      <c r="J535" s="23" t="n">
        <v>1923617000</v>
      </c>
      <c r="K535" s="23" t="n">
        <v>3640000</v>
      </c>
      <c r="L535" s="23" t="n">
        <v>333851000</v>
      </c>
      <c r="M535" s="23" t="n">
        <v>-12627000</v>
      </c>
      <c r="N535" s="23" t="n">
        <v>321224000</v>
      </c>
      <c r="O535" s="23" t="n">
        <v>778215000</v>
      </c>
      <c r="P535" s="23" t="n">
        <v>260073000</v>
      </c>
      <c r="Q535" s="23" t="n">
        <v>2524827000</v>
      </c>
      <c r="R535" s="23" t="n">
        <v>2291030000</v>
      </c>
      <c r="S535" s="4" t="n">
        <v>-67.4444444444444</v>
      </c>
    </row>
    <row r="536" customFormat="false" ht="15" hidden="false" customHeight="false" outlineLevel="0" collapsed="false">
      <c r="A536" s="4" t="s">
        <v>507</v>
      </c>
      <c r="B536" s="4" t="n">
        <v>2025</v>
      </c>
      <c r="C536" s="4" t="s">
        <v>103</v>
      </c>
      <c r="D536" s="23" t="n">
        <v>4890551000</v>
      </c>
      <c r="E536" s="23" t="n">
        <v>3818252000</v>
      </c>
      <c r="F536" s="23" t="n">
        <v>-1232342000</v>
      </c>
      <c r="G536" s="23" t="n">
        <v>-802175000</v>
      </c>
      <c r="H536" s="23" t="n">
        <v>-1065057000</v>
      </c>
      <c r="I536" s="4" t="n">
        <v>-1.54</v>
      </c>
      <c r="J536" s="23" t="n">
        <v>689612000</v>
      </c>
      <c r="K536" s="23" t="n">
        <v>40030000</v>
      </c>
      <c r="L536" s="23" t="n">
        <v>1796358000</v>
      </c>
      <c r="M536" s="23" t="n">
        <v>-443478000</v>
      </c>
      <c r="N536" s="23" t="n">
        <v>1352880000</v>
      </c>
      <c r="O536" s="23" t="n">
        <v>1129004000</v>
      </c>
      <c r="P536" s="23" t="n">
        <v>1802704000</v>
      </c>
      <c r="Q536" s="23" t="n">
        <v>3055142000</v>
      </c>
      <c r="R536" s="23" t="n">
        <v>374980000</v>
      </c>
      <c r="S536" s="4" t="n">
        <v>-52.6168831168831</v>
      </c>
    </row>
    <row r="537" customFormat="false" ht="15" hidden="false" customHeight="false" outlineLevel="0" collapsed="false">
      <c r="A537" s="4" t="s">
        <v>507</v>
      </c>
      <c r="B537" s="4" t="n">
        <v>2024</v>
      </c>
      <c r="C537" s="4" t="s">
        <v>572</v>
      </c>
      <c r="D537" s="23" t="n">
        <v>3601979000</v>
      </c>
      <c r="E537" s="23" t="n">
        <v>2800817000</v>
      </c>
      <c r="F537" s="23" t="n">
        <v>-1063317000</v>
      </c>
      <c r="G537" s="23" t="n">
        <v>-670250000</v>
      </c>
      <c r="H537" s="23" t="n">
        <v>-935384000</v>
      </c>
      <c r="I537" s="4" t="n">
        <v>-1.44</v>
      </c>
      <c r="J537" s="23" t="n">
        <v>647482000</v>
      </c>
      <c r="K537" s="23" t="n">
        <v>41184000</v>
      </c>
      <c r="L537" s="23" t="n">
        <v>822316000</v>
      </c>
      <c r="M537" s="23" t="n">
        <v>-181016000</v>
      </c>
      <c r="N537" s="23" t="n">
        <v>641300000</v>
      </c>
      <c r="O537" s="23" t="n">
        <v>1015794000</v>
      </c>
      <c r="P537" s="23" t="n">
        <v>1805279000</v>
      </c>
      <c r="Q537" s="23" t="n">
        <v>2409545000</v>
      </c>
      <c r="R537" s="23" t="n">
        <v>208654000</v>
      </c>
      <c r="S537" s="4" t="n">
        <v>-40.1805555555556</v>
      </c>
    </row>
    <row r="538" customFormat="false" ht="15" hidden="false" customHeight="false" outlineLevel="0" collapsed="false">
      <c r="A538" s="4" t="s">
        <v>507</v>
      </c>
      <c r="B538" s="4" t="n">
        <v>2023</v>
      </c>
      <c r="C538" s="4" t="s">
        <v>573</v>
      </c>
      <c r="D538" s="23" t="n">
        <v>2799274000</v>
      </c>
      <c r="E538" s="23" t="n">
        <v>2150159000</v>
      </c>
      <c r="F538" s="23" t="n">
        <v>-1259067000</v>
      </c>
      <c r="G538" s="23" t="n">
        <v>-910950000</v>
      </c>
      <c r="H538" s="23" t="n">
        <v>-1151946000</v>
      </c>
      <c r="I538" s="4" t="n">
        <v>-1.87</v>
      </c>
      <c r="J538" s="23" t="n">
        <v>616445000</v>
      </c>
      <c r="K538" s="23" t="n">
        <v>40707000</v>
      </c>
      <c r="L538" s="23" t="n">
        <v>458180000</v>
      </c>
      <c r="M538" s="23" t="n">
        <v>-334167000</v>
      </c>
      <c r="N538" s="23" t="n">
        <v>124013000</v>
      </c>
      <c r="O538" s="23" t="n">
        <v>867967000</v>
      </c>
      <c r="P538" s="23" t="n">
        <v>1762799000</v>
      </c>
      <c r="Q538" s="23" t="n">
        <v>2193274000</v>
      </c>
      <c r="R538" s="23" t="n">
        <v>68626000</v>
      </c>
      <c r="S538" s="4" t="n">
        <v>-24.4491978609626</v>
      </c>
    </row>
    <row r="539" customFormat="false" ht="15" hidden="false" customHeight="false" outlineLevel="0" collapsed="false">
      <c r="A539" s="4" t="s">
        <v>507</v>
      </c>
      <c r="B539" s="4" t="n">
        <v>2022</v>
      </c>
      <c r="C539" s="4" t="s">
        <v>574</v>
      </c>
      <c r="D539" s="23" t="n">
        <v>2225052000</v>
      </c>
      <c r="E539" s="23" t="n">
        <v>1677394000</v>
      </c>
      <c r="F539" s="23" t="n">
        <v>-923784000</v>
      </c>
      <c r="G539" s="23" t="n">
        <v>-761864000</v>
      </c>
      <c r="H539" s="23" t="n">
        <v>-924366000</v>
      </c>
      <c r="I539" s="4" t="n">
        <v>-1.55</v>
      </c>
      <c r="J539" s="23" t="n">
        <v>595559000</v>
      </c>
      <c r="K539" s="23" t="n">
        <v>39903000</v>
      </c>
      <c r="L539" s="23" t="n">
        <v>369296000</v>
      </c>
      <c r="M539" s="23" t="n">
        <v>-427663000</v>
      </c>
      <c r="N539" s="23" t="n">
        <v>-58367000</v>
      </c>
      <c r="O539" s="23" t="n">
        <v>589498000</v>
      </c>
      <c r="P539" s="23" t="n">
        <v>1556809000</v>
      </c>
      <c r="Q539" s="23" t="n">
        <v>2977474000</v>
      </c>
      <c r="R539" s="23" t="n">
        <v>305035000</v>
      </c>
      <c r="S539" s="4" t="n">
        <v>-18.3612903225806</v>
      </c>
    </row>
    <row r="540" customFormat="false" ht="15" hidden="false" customHeight="false" outlineLevel="0" collapsed="false">
      <c r="A540" s="4" t="s">
        <v>507</v>
      </c>
      <c r="B540" s="4" t="n">
        <v>2021</v>
      </c>
      <c r="C540" s="4" t="s">
        <v>575</v>
      </c>
      <c r="D540" s="23" t="n">
        <v>1919181000</v>
      </c>
      <c r="E540" s="23" t="n">
        <v>1422311000</v>
      </c>
      <c r="F540" s="23" t="n">
        <v>-495098000</v>
      </c>
      <c r="G540" s="23" t="n">
        <v>-421397000</v>
      </c>
      <c r="H540" s="23" t="n">
        <v>-491651000</v>
      </c>
      <c r="I540" s="4" t="n">
        <v>-0.97</v>
      </c>
      <c r="J540" s="23" t="n">
        <v>505858000</v>
      </c>
      <c r="K540" s="23" t="n">
        <v>6998000</v>
      </c>
      <c r="L540" s="23" t="n">
        <v>659109000</v>
      </c>
      <c r="M540" s="23" t="n">
        <v>-101129000</v>
      </c>
      <c r="N540" s="23" t="n">
        <v>557980000</v>
      </c>
      <c r="O540" s="23" t="n">
        <v>341942000</v>
      </c>
      <c r="P540" s="23" t="n">
        <v>1233642000</v>
      </c>
      <c r="Q540" s="23" t="n">
        <v>3004300000</v>
      </c>
      <c r="R540" s="23" t="n">
        <v>592923000</v>
      </c>
      <c r="S540" s="4" t="n">
        <v>-106.350515463918</v>
      </c>
    </row>
    <row r="541" customFormat="false" ht="15" hidden="false" customHeight="false" outlineLevel="0" collapsed="false">
      <c r="A541" s="4" t="s">
        <v>511</v>
      </c>
      <c r="B541" s="4" t="n">
        <v>2025</v>
      </c>
      <c r="C541" s="4" t="s">
        <v>390</v>
      </c>
      <c r="D541" s="23" t="n">
        <v>37184400000</v>
      </c>
      <c r="E541" s="23" t="n">
        <v>8981500000</v>
      </c>
      <c r="F541" s="23" t="n">
        <v>3580800000</v>
      </c>
      <c r="G541" s="23" t="n">
        <v>5465600000</v>
      </c>
      <c r="H541" s="23" t="n">
        <v>1856400000</v>
      </c>
      <c r="I541" s="4" t="n">
        <v>1.63</v>
      </c>
      <c r="J541" s="23" t="n">
        <v>1139800000</v>
      </c>
      <c r="K541" s="23" t="n">
        <v>542600000</v>
      </c>
      <c r="L541" s="23" t="n">
        <v>4747500000</v>
      </c>
      <c r="M541" s="23" t="n">
        <v>-2305500000</v>
      </c>
      <c r="N541" s="23" t="n">
        <v>2442000000</v>
      </c>
      <c r="O541" s="23" t="n">
        <v>318300000</v>
      </c>
      <c r="P541" s="23" t="n">
        <v>26611500000</v>
      </c>
      <c r="Q541" s="23" t="n">
        <v>3467000000</v>
      </c>
      <c r="R541" s="23" t="n">
        <v>-8089200000</v>
      </c>
      <c r="S541" s="4" t="n">
        <v>52.5398773006135</v>
      </c>
    </row>
    <row r="542" customFormat="false" ht="15" hidden="false" customHeight="false" outlineLevel="0" collapsed="false">
      <c r="A542" s="4" t="s">
        <v>511</v>
      </c>
      <c r="B542" s="4" t="n">
        <v>2024</v>
      </c>
      <c r="C542" s="4" t="s">
        <v>610</v>
      </c>
      <c r="D542" s="23" t="n">
        <v>36176200000</v>
      </c>
      <c r="E542" s="23" t="n">
        <v>9709100000</v>
      </c>
      <c r="F542" s="23" t="n">
        <v>5408800000</v>
      </c>
      <c r="G542" s="23" t="n">
        <v>7124000000</v>
      </c>
      <c r="H542" s="23" t="n">
        <v>3760900000</v>
      </c>
      <c r="I542" s="4" t="n">
        <v>3.31</v>
      </c>
      <c r="J542" s="23" t="n">
        <v>1137300000</v>
      </c>
      <c r="K542" s="23" t="n">
        <v>562000000</v>
      </c>
      <c r="L542" s="23" t="n">
        <v>6095600000</v>
      </c>
      <c r="M542" s="23" t="n">
        <v>-2777500000</v>
      </c>
      <c r="N542" s="23" t="n">
        <v>3318100000</v>
      </c>
      <c r="O542" s="23" t="n">
        <v>308300000</v>
      </c>
      <c r="P542" s="23" t="n">
        <v>25803100000</v>
      </c>
      <c r="Q542" s="23" t="n">
        <v>3543200000</v>
      </c>
      <c r="R542" s="23" t="n">
        <v>-7441600000</v>
      </c>
      <c r="S542" s="4" t="n">
        <v>29.4531722054381</v>
      </c>
    </row>
    <row r="543" customFormat="false" ht="15" hidden="false" customHeight="false" outlineLevel="0" collapsed="false">
      <c r="A543" s="4" t="s">
        <v>511</v>
      </c>
      <c r="B543" s="4" t="n">
        <v>2023</v>
      </c>
      <c r="C543" s="4" t="s">
        <v>611</v>
      </c>
      <c r="D543" s="23" t="n">
        <v>35975600000</v>
      </c>
      <c r="E543" s="23" t="n">
        <v>9846200000</v>
      </c>
      <c r="F543" s="23" t="n">
        <v>5870800000</v>
      </c>
      <c r="G543" s="23" t="n">
        <v>7402300000</v>
      </c>
      <c r="H543" s="23" t="n">
        <v>4124500000</v>
      </c>
      <c r="I543" s="4" t="n">
        <v>3.58</v>
      </c>
      <c r="J543" s="23" t="n">
        <v>1151300000</v>
      </c>
      <c r="K543" s="23" t="n">
        <v>550100000</v>
      </c>
      <c r="L543" s="23" t="n">
        <v>6008700000</v>
      </c>
      <c r="M543" s="23" t="n">
        <v>-2333600000</v>
      </c>
      <c r="N543" s="23" t="n">
        <v>3675100000</v>
      </c>
      <c r="O543" s="23" t="n">
        <v>302700000</v>
      </c>
      <c r="P543" s="23" t="n">
        <v>24599800000</v>
      </c>
      <c r="Q543" s="23" t="n">
        <v>3953000000</v>
      </c>
      <c r="R543" s="23" t="n">
        <v>-7987800000</v>
      </c>
      <c r="S543" s="4" t="n">
        <v>25.3527777777778</v>
      </c>
    </row>
    <row r="544" customFormat="false" ht="15" hidden="false" customHeight="false" outlineLevel="0" collapsed="false">
      <c r="A544" s="4" t="s">
        <v>511</v>
      </c>
      <c r="B544" s="4" t="n">
        <v>2022</v>
      </c>
      <c r="C544" s="4" t="s">
        <v>612</v>
      </c>
      <c r="D544" s="23" t="n">
        <v>32250300000</v>
      </c>
      <c r="E544" s="23" t="n">
        <v>8371100000</v>
      </c>
      <c r="F544" s="23" t="n">
        <v>4617800000</v>
      </c>
      <c r="G544" s="23" t="n">
        <v>6244200000</v>
      </c>
      <c r="H544" s="23" t="n">
        <v>3281600000</v>
      </c>
      <c r="I544" s="4" t="n">
        <v>2.83</v>
      </c>
      <c r="J544" s="23" t="n">
        <v>1158500000</v>
      </c>
      <c r="K544" s="23" t="n">
        <v>482900000</v>
      </c>
      <c r="L544" s="23" t="n">
        <v>4397300000</v>
      </c>
      <c r="M544" s="23" t="n">
        <v>-1841300000</v>
      </c>
      <c r="N544" s="23" t="n">
        <v>2556000000</v>
      </c>
      <c r="O544" s="23" t="n">
        <v>271500000</v>
      </c>
      <c r="P544" s="23" t="n">
        <v>23804800000</v>
      </c>
      <c r="Q544" s="23" t="n">
        <v>3182900000</v>
      </c>
      <c r="R544" s="23" t="n">
        <v>-8698700000</v>
      </c>
      <c r="S544" s="4" t="n">
        <v>29.5649122807018</v>
      </c>
    </row>
    <row r="545" customFormat="false" ht="15" hidden="false" customHeight="false" outlineLevel="0" collapsed="false">
      <c r="A545" s="4" t="s">
        <v>511</v>
      </c>
      <c r="B545" s="4" t="n">
        <v>2021</v>
      </c>
      <c r="C545" s="4" t="s">
        <v>613</v>
      </c>
      <c r="D545" s="23" t="n">
        <v>29060600000</v>
      </c>
      <c r="E545" s="23" t="n">
        <v>8391000000</v>
      </c>
      <c r="F545" s="23" t="n">
        <v>4872100000</v>
      </c>
      <c r="G545" s="23" t="n">
        <v>7350800000</v>
      </c>
      <c r="H545" s="23" t="n">
        <v>4199300000</v>
      </c>
      <c r="I545" s="4" t="n">
        <v>3.54</v>
      </c>
      <c r="J545" s="23" t="n">
        <v>1185500000</v>
      </c>
      <c r="K545" s="23" t="n">
        <v>469800000</v>
      </c>
      <c r="L545" s="23" t="n">
        <v>5989100000</v>
      </c>
      <c r="M545" s="23" t="n">
        <v>-1470000000</v>
      </c>
      <c r="N545" s="23" t="n">
        <v>4519100000</v>
      </c>
      <c r="O545" s="23" t="n">
        <v>319100000</v>
      </c>
      <c r="P545" s="23" t="n">
        <v>23605100000</v>
      </c>
      <c r="Q545" s="23" t="n">
        <v>6617900000</v>
      </c>
      <c r="R545" s="23" t="n">
        <v>-5314500000</v>
      </c>
      <c r="S545" s="4" t="n">
        <v>30.8991596638656</v>
      </c>
    </row>
    <row r="546" customFormat="false" ht="15" hidden="false" customHeight="false" outlineLevel="0" collapsed="false">
      <c r="A546" s="4" t="s">
        <v>514</v>
      </c>
      <c r="B546" s="4" t="n">
        <v>2026</v>
      </c>
      <c r="C546" s="4" t="s">
        <v>115</v>
      </c>
      <c r="D546" s="23" t="n">
        <v>39063072000</v>
      </c>
      <c r="E546" s="23" t="n">
        <v>4227251000</v>
      </c>
      <c r="F546" s="23" t="n">
        <v>2770486000</v>
      </c>
      <c r="G546" s="23" t="n">
        <v>3074105000</v>
      </c>
      <c r="H546" s="23" t="n">
        <v>2230453000</v>
      </c>
      <c r="I546" s="4" t="n">
        <v>3.26</v>
      </c>
      <c r="J546" s="23" t="n">
        <v>697348000</v>
      </c>
      <c r="K546" s="23" t="n">
        <v>194574000</v>
      </c>
      <c r="L546" s="23" t="n">
        <v>-6809886000</v>
      </c>
      <c r="M546" s="23" t="n">
        <v>-161999000</v>
      </c>
      <c r="N546" s="23" t="n">
        <v>-6971885000</v>
      </c>
      <c r="O546" s="23" t="n">
        <v>412115000</v>
      </c>
      <c r="P546" s="23" t="n">
        <v>8720287000</v>
      </c>
      <c r="Q546" s="23" t="n">
        <v>7521474000</v>
      </c>
      <c r="R546" s="23" t="n">
        <v>14479616000</v>
      </c>
      <c r="S546" s="4" t="n">
        <v>8.03561643835617</v>
      </c>
    </row>
    <row r="547" customFormat="false" ht="15" hidden="false" customHeight="false" outlineLevel="0" collapsed="false">
      <c r="A547" s="4" t="s">
        <v>514</v>
      </c>
      <c r="B547" s="4" t="n">
        <v>2025</v>
      </c>
      <c r="C547" s="4" t="s">
        <v>580</v>
      </c>
      <c r="D547" s="23" t="n">
        <v>21972042000</v>
      </c>
      <c r="E547" s="23" t="n">
        <v>2429922000</v>
      </c>
      <c r="F547" s="23" t="n">
        <v>1252994000</v>
      </c>
      <c r="G547" s="23" t="n">
        <v>1329833000</v>
      </c>
      <c r="H547" s="23" t="n">
        <v>1048854000</v>
      </c>
      <c r="I547" s="4" t="n">
        <v>1.68</v>
      </c>
      <c r="J547" s="23" t="n">
        <v>628402000</v>
      </c>
      <c r="K547" s="23" t="n">
        <v>59573000</v>
      </c>
      <c r="L547" s="23" t="n">
        <v>1659524000</v>
      </c>
      <c r="M547" s="23" t="n">
        <v>-127214000</v>
      </c>
      <c r="N547" s="23" t="n">
        <v>1532310000</v>
      </c>
      <c r="O547" s="23" t="n">
        <v>314452000</v>
      </c>
      <c r="P547" s="23" t="n">
        <v>4778842000</v>
      </c>
      <c r="Q547" s="23" t="n">
        <v>5169911000</v>
      </c>
      <c r="R547" s="23" t="n">
        <v>6301871000</v>
      </c>
      <c r="S547" s="4" t="n">
        <v>27.6892655367232</v>
      </c>
    </row>
    <row r="548" customFormat="false" ht="15" hidden="false" customHeight="false" outlineLevel="0" collapsed="false">
      <c r="A548" s="4" t="s">
        <v>514</v>
      </c>
      <c r="B548" s="4" t="n">
        <v>2024</v>
      </c>
      <c r="C548" s="4" t="s">
        <v>581</v>
      </c>
      <c r="D548" s="23" t="n">
        <v>14989251000</v>
      </c>
      <c r="E548" s="23" t="n">
        <v>2061410000</v>
      </c>
      <c r="F548" s="23" t="n">
        <v>1210774000</v>
      </c>
      <c r="G548" s="23" t="n">
        <v>1272184000</v>
      </c>
      <c r="H548" s="23" t="n">
        <v>1152666000</v>
      </c>
      <c r="I548" s="4" t="n">
        <v>1.68</v>
      </c>
      <c r="J548" s="23" t="n">
        <v>628402000</v>
      </c>
      <c r="K548" s="23" t="n">
        <v>19352000</v>
      </c>
      <c r="L548" s="23" t="n">
        <v>-2485972000</v>
      </c>
      <c r="M548" s="23" t="n">
        <v>-124279000</v>
      </c>
      <c r="N548" s="23" t="n">
        <v>-2610251000</v>
      </c>
      <c r="O548" s="23" t="n">
        <v>231507000</v>
      </c>
      <c r="P548" s="23" t="n">
        <v>2183393000</v>
      </c>
      <c r="Q548" s="23" t="n">
        <v>1669766000</v>
      </c>
      <c r="R548" s="23" t="n">
        <v>5417370000</v>
      </c>
      <c r="S548" s="4" t="n">
        <v>45.8926553672316</v>
      </c>
    </row>
    <row r="549" customFormat="false" ht="15" hidden="false" customHeight="false" outlineLevel="0" collapsed="false">
      <c r="A549" s="4" t="s">
        <v>514</v>
      </c>
      <c r="B549" s="4" t="n">
        <v>2023</v>
      </c>
      <c r="C549" s="4" t="s">
        <v>582</v>
      </c>
      <c r="D549" s="23" t="n">
        <v>7123482000</v>
      </c>
      <c r="E549" s="23" t="n">
        <v>1283012000</v>
      </c>
      <c r="F549" s="23" t="n">
        <v>761142000</v>
      </c>
      <c r="G549" s="23" t="n">
        <v>799692000</v>
      </c>
      <c r="H549" s="23" t="n">
        <v>639998000</v>
      </c>
      <c r="I549" s="4" t="n">
        <v>2.01</v>
      </c>
      <c r="J549" s="23" t="n">
        <v>602150000</v>
      </c>
      <c r="K549" s="23" t="n">
        <v>10491000</v>
      </c>
      <c r="L549" s="23" t="n">
        <v>663580000</v>
      </c>
      <c r="M549" s="23" t="n">
        <v>-36793000</v>
      </c>
      <c r="N549" s="23" t="n">
        <v>626787000</v>
      </c>
      <c r="O549" s="23" t="n">
        <v>54433000</v>
      </c>
      <c r="P549" s="23" t="n">
        <v>290302000</v>
      </c>
      <c r="Q549" s="23" t="n">
        <v>440459000</v>
      </c>
      <c r="R549" s="23" t="n">
        <v>1972170000</v>
      </c>
      <c r="S549" s="4" t="n">
        <v>11.4884792626728</v>
      </c>
    </row>
    <row r="550" customFormat="false" ht="15" hidden="false" customHeight="false" outlineLevel="0" collapsed="false">
      <c r="A550" s="4" t="s">
        <v>514</v>
      </c>
      <c r="B550" s="4" t="n">
        <v>2022</v>
      </c>
      <c r="C550" s="4" t="s">
        <v>583</v>
      </c>
      <c r="D550" s="23" t="n">
        <v>5196099000</v>
      </c>
      <c r="E550" s="23" t="n">
        <v>800001000</v>
      </c>
      <c r="F550" s="23" t="n">
        <v>335167000</v>
      </c>
      <c r="G550" s="23" t="n">
        <v>375717000</v>
      </c>
      <c r="H550" s="23" t="n">
        <v>285163000</v>
      </c>
      <c r="I550" s="4" t="n">
        <v>1.14</v>
      </c>
      <c r="J550" s="23" t="n">
        <v>559700000</v>
      </c>
      <c r="K550" s="23" t="n">
        <v>6413000</v>
      </c>
      <c r="L550" s="23" t="n">
        <v>-440801000</v>
      </c>
      <c r="M550" s="23" t="n">
        <v>-45182000</v>
      </c>
      <c r="N550" s="23" t="n">
        <v>-485983000</v>
      </c>
      <c r="O550" s="23" t="n">
        <v>32816000</v>
      </c>
      <c r="P550" s="23" t="n">
        <v>620564000</v>
      </c>
      <c r="Q550" s="23" t="n">
        <v>267397000</v>
      </c>
      <c r="R550" s="23" t="n">
        <v>1425747000</v>
      </c>
      <c r="S550" s="4" t="n">
        <v>3.33884297520661</v>
      </c>
    </row>
    <row r="551" customFormat="false" ht="15" hidden="false" customHeight="false" outlineLevel="0" collapsed="false">
      <c r="A551" s="4" t="s">
        <v>517</v>
      </c>
      <c r="B551" s="4" t="n">
        <v>2026</v>
      </c>
      <c r="C551" s="4" t="s">
        <v>165</v>
      </c>
      <c r="D551" s="23" t="n">
        <v>4683946000</v>
      </c>
      <c r="E551" s="23" t="n">
        <v>3146141000</v>
      </c>
      <c r="F551" s="23" t="n">
        <v>-1435165000</v>
      </c>
      <c r="G551" s="23" t="n">
        <v>-1083169000</v>
      </c>
      <c r="H551" s="23" t="n">
        <v>-1331616000</v>
      </c>
      <c r="I551" s="4" t="n">
        <v>-3.95</v>
      </c>
      <c r="J551" s="23" t="n">
        <v>337493000</v>
      </c>
      <c r="K551" s="23" t="n">
        <v>8298000</v>
      </c>
      <c r="L551" s="23" t="n">
        <v>1221942000</v>
      </c>
      <c r="M551" s="23" t="n">
        <v>-101628000</v>
      </c>
      <c r="N551" s="23" t="n">
        <v>1120314000</v>
      </c>
      <c r="O551" s="23" t="n">
        <v>1599547000</v>
      </c>
      <c r="P551" s="23" t="n">
        <v>2741114000</v>
      </c>
      <c r="Q551" s="23" t="n">
        <v>4029686000</v>
      </c>
      <c r="R551" s="23" t="n">
        <v>1924102000</v>
      </c>
      <c r="S551" s="4" t="n">
        <v>-48.7848101265823</v>
      </c>
    </row>
    <row r="552" customFormat="false" ht="15" hidden="false" customHeight="false" outlineLevel="0" collapsed="false">
      <c r="A552" s="4" t="s">
        <v>517</v>
      </c>
      <c r="B552" s="4" t="n">
        <v>2025</v>
      </c>
      <c r="C552" s="4" t="s">
        <v>584</v>
      </c>
      <c r="D552" s="23" t="n">
        <v>3626396000</v>
      </c>
      <c r="E552" s="23" t="n">
        <v>2411723000</v>
      </c>
      <c r="F552" s="23" t="n">
        <v>-1456010000</v>
      </c>
      <c r="G552" s="23" t="n">
        <v>-1099832000</v>
      </c>
      <c r="H552" s="23" t="n">
        <v>-1285640000</v>
      </c>
      <c r="I552" s="4" t="n">
        <v>-3.86</v>
      </c>
      <c r="J552" s="23" t="n">
        <v>332707000</v>
      </c>
      <c r="K552" s="23" t="n">
        <v>2759000</v>
      </c>
      <c r="L552" s="23" t="n">
        <v>959764000</v>
      </c>
      <c r="M552" s="23" t="n">
        <v>-46279000</v>
      </c>
      <c r="N552" s="23" t="n">
        <v>913485000</v>
      </c>
      <c r="O552" s="23" t="n">
        <v>1479314000</v>
      </c>
      <c r="P552" s="23" t="n">
        <v>2685270000</v>
      </c>
      <c r="Q552" s="23" t="n">
        <v>4637671000</v>
      </c>
      <c r="R552" s="23" t="n">
        <v>3006643000</v>
      </c>
      <c r="S552" s="4" t="n">
        <v>-47.0233160621762</v>
      </c>
    </row>
    <row r="553" customFormat="false" ht="15" hidden="false" customHeight="false" outlineLevel="0" collapsed="false">
      <c r="A553" s="4" t="s">
        <v>517</v>
      </c>
      <c r="B553" s="4" t="n">
        <v>2024</v>
      </c>
      <c r="C553" s="4" t="s">
        <v>585</v>
      </c>
      <c r="D553" s="23" t="n">
        <v>2806489000</v>
      </c>
      <c r="E553" s="23" t="n">
        <v>1907931000</v>
      </c>
      <c r="F553" s="23" t="n">
        <v>-1094773000</v>
      </c>
      <c r="G553" s="23" t="n">
        <v>-729320000</v>
      </c>
      <c r="H553" s="23" t="n">
        <v>-836097000</v>
      </c>
      <c r="I553" s="4" t="n">
        <v>-2.55</v>
      </c>
      <c r="J553" s="23" t="n">
        <v>328001000</v>
      </c>
      <c r="K553" s="23" t="n">
        <v>0</v>
      </c>
      <c r="L553" s="23" t="n">
        <v>848122000</v>
      </c>
      <c r="M553" s="23" t="n">
        <v>-69219000</v>
      </c>
      <c r="N553" s="23" t="n">
        <v>778903000</v>
      </c>
      <c r="O553" s="23" t="n">
        <v>1168015000</v>
      </c>
      <c r="P553" s="23" t="n">
        <v>287981000</v>
      </c>
      <c r="Q553" s="23" t="n">
        <v>3846248000</v>
      </c>
      <c r="R553" s="23" t="n">
        <v>5190594000</v>
      </c>
      <c r="S553" s="4" t="n">
        <v>-76.721568627451</v>
      </c>
    </row>
    <row r="554" customFormat="false" ht="15" hidden="false" customHeight="false" outlineLevel="0" collapsed="false">
      <c r="A554" s="4" t="s">
        <v>517</v>
      </c>
      <c r="B554" s="4" t="n">
        <v>2023</v>
      </c>
      <c r="C554" s="4" t="s">
        <v>586</v>
      </c>
      <c r="D554" s="23" t="n">
        <v>2065659000</v>
      </c>
      <c r="E554" s="23" t="n">
        <v>1348119000</v>
      </c>
      <c r="F554" s="23" t="n">
        <v>-842267000</v>
      </c>
      <c r="G554" s="23" t="n">
        <v>-752458000</v>
      </c>
      <c r="H554" s="23" t="n">
        <v>-796705000</v>
      </c>
      <c r="I554" s="4" t="n">
        <v>-2.5</v>
      </c>
      <c r="J554" s="23" t="n">
        <v>318730000</v>
      </c>
      <c r="K554" s="23" t="n">
        <v>0</v>
      </c>
      <c r="L554" s="23" t="n">
        <v>545639000</v>
      </c>
      <c r="M554" s="23" t="n">
        <v>-49140000</v>
      </c>
      <c r="N554" s="23" t="n">
        <v>496499000</v>
      </c>
      <c r="O554" s="23" t="n">
        <v>861533000</v>
      </c>
      <c r="P554" s="23" t="n">
        <v>251658000</v>
      </c>
      <c r="Q554" s="23" t="n">
        <v>4007868000</v>
      </c>
      <c r="R554" s="23" t="n">
        <v>5468615000</v>
      </c>
      <c r="S554" s="4" t="n">
        <v>-62.576</v>
      </c>
    </row>
    <row r="555" customFormat="false" ht="15" hidden="false" customHeight="false" outlineLevel="0" collapsed="false">
      <c r="A555" s="4" t="s">
        <v>517</v>
      </c>
      <c r="B555" s="4" t="n">
        <v>2022</v>
      </c>
      <c r="C555" s="4" t="s">
        <v>587</v>
      </c>
      <c r="D555" s="23" t="n">
        <v>1219327000</v>
      </c>
      <c r="E555" s="23" t="n">
        <v>760894000</v>
      </c>
      <c r="F555" s="23" t="n">
        <v>-715036000</v>
      </c>
      <c r="G555" s="23" t="n">
        <v>-655462000</v>
      </c>
      <c r="H555" s="23" t="n">
        <v>-679948000</v>
      </c>
      <c r="I555" s="4" t="n">
        <v>-2.26</v>
      </c>
      <c r="J555" s="23" t="n">
        <v>300273227</v>
      </c>
      <c r="K555" s="23" t="n">
        <v>0</v>
      </c>
      <c r="L555" s="23" t="n">
        <v>110179000</v>
      </c>
      <c r="M555" s="23" t="n">
        <v>-28993000</v>
      </c>
      <c r="N555" s="23" t="n">
        <v>81186000</v>
      </c>
      <c r="O555" s="23" t="n">
        <v>605095000</v>
      </c>
      <c r="P555" s="23" t="n">
        <v>206297000</v>
      </c>
      <c r="Q555" s="23" t="n">
        <v>3852093000</v>
      </c>
      <c r="R555" s="23" t="n">
        <v>5049045000</v>
      </c>
      <c r="S555" s="4" t="n">
        <v>-122.079646017699</v>
      </c>
    </row>
    <row r="556" customFormat="false" ht="15" hidden="false" customHeight="false" outlineLevel="0" collapsed="false">
      <c r="A556" s="4" t="s">
        <v>520</v>
      </c>
      <c r="B556" s="4" t="n">
        <v>2025</v>
      </c>
      <c r="C556" s="4" t="s">
        <v>103</v>
      </c>
      <c r="D556" s="23" t="n">
        <v>29553000000</v>
      </c>
      <c r="E556" s="23" t="n">
        <v>8809000000</v>
      </c>
      <c r="F556" s="23" t="n">
        <v>7271000000</v>
      </c>
      <c r="G556" s="23" t="n">
        <v>14334000000</v>
      </c>
      <c r="H556" s="23" t="n">
        <v>4341000000</v>
      </c>
      <c r="I556" s="4" t="n">
        <v>3.92</v>
      </c>
      <c r="J556" s="23" t="n">
        <v>1109000000</v>
      </c>
      <c r="K556" s="23" t="n">
        <v>3305000000</v>
      </c>
      <c r="L556" s="23" t="n">
        <v>9802000000</v>
      </c>
      <c r="M556" s="23" t="n">
        <v>-12737000000</v>
      </c>
      <c r="N556" s="23" t="n">
        <v>-2935000000</v>
      </c>
      <c r="O556" s="23" t="n">
        <v>136000000</v>
      </c>
      <c r="P556" s="23" t="n">
        <v>74075000000</v>
      </c>
      <c r="Q556" s="23" t="n">
        <v>1639000000</v>
      </c>
      <c r="R556" s="23" t="n">
        <v>38867000000</v>
      </c>
      <c r="S556" s="4" t="n">
        <v>22.1319796954315</v>
      </c>
    </row>
    <row r="557" customFormat="false" ht="15" hidden="false" customHeight="false" outlineLevel="0" collapsed="false">
      <c r="A557" s="4" t="s">
        <v>520</v>
      </c>
      <c r="B557" s="4" t="n">
        <v>2024</v>
      </c>
      <c r="C557" s="4" t="s">
        <v>572</v>
      </c>
      <c r="D557" s="23" t="n">
        <v>26724000000</v>
      </c>
      <c r="E557" s="23" t="n">
        <v>13342000000</v>
      </c>
      <c r="F557" s="23" t="n">
        <v>7068000000</v>
      </c>
      <c r="G557" s="23" t="n">
        <v>13238000000</v>
      </c>
      <c r="H557" s="23" t="n">
        <v>4401000000</v>
      </c>
      <c r="I557" s="4" t="n">
        <v>3.99</v>
      </c>
      <c r="J557" s="23" t="n">
        <v>1103008000</v>
      </c>
      <c r="K557" s="23" t="n">
        <v>2743000000</v>
      </c>
      <c r="L557" s="23" t="n">
        <v>9788000000</v>
      </c>
      <c r="M557" s="23" t="n">
        <v>-8955000000</v>
      </c>
      <c r="N557" s="23" t="n">
        <v>833000000</v>
      </c>
      <c r="O557" s="23" t="n">
        <v>132000000</v>
      </c>
      <c r="P557" s="23" t="n">
        <v>66277000000</v>
      </c>
      <c r="Q557" s="23" t="n">
        <v>1070000000</v>
      </c>
      <c r="R557" s="23" t="n">
        <v>36674000000</v>
      </c>
      <c r="S557" s="4" t="n">
        <v>20.4776119402985</v>
      </c>
    </row>
    <row r="558" customFormat="false" ht="15" hidden="false" customHeight="false" outlineLevel="0" collapsed="false">
      <c r="A558" s="4" t="s">
        <v>520</v>
      </c>
      <c r="B558" s="4" t="n">
        <v>2023</v>
      </c>
      <c r="C558" s="4" t="s">
        <v>573</v>
      </c>
      <c r="D558" s="23" t="n">
        <v>25253000000</v>
      </c>
      <c r="E558" s="23" t="n">
        <v>11708000000</v>
      </c>
      <c r="F558" s="23" t="n">
        <v>5826000000</v>
      </c>
      <c r="G558" s="23" t="n">
        <v>11777000000</v>
      </c>
      <c r="H558" s="23" t="n">
        <v>3976000000</v>
      </c>
      <c r="I558" s="4" t="n">
        <v>3.62</v>
      </c>
      <c r="J558" s="23" t="n">
        <v>1098000000</v>
      </c>
      <c r="K558" s="23" t="n">
        <v>2446000000</v>
      </c>
      <c r="L558" s="23" t="n">
        <v>7553000000</v>
      </c>
      <c r="M558" s="23" t="n">
        <v>-9095000000</v>
      </c>
      <c r="N558" s="23" t="n">
        <v>-1542000000</v>
      </c>
      <c r="O558" s="23" t="n">
        <v>137000000</v>
      </c>
      <c r="P558" s="23" t="n">
        <v>63490000000</v>
      </c>
      <c r="Q558" s="23" t="n">
        <v>748000000</v>
      </c>
      <c r="R558" s="23" t="n">
        <v>35225000000</v>
      </c>
      <c r="S558" s="4" t="n">
        <v>19.4642857142857</v>
      </c>
    </row>
    <row r="559" customFormat="false" ht="15" hidden="false" customHeight="false" outlineLevel="0" collapsed="false">
      <c r="A559" s="4" t="s">
        <v>520</v>
      </c>
      <c r="B559" s="4" t="n">
        <v>2022</v>
      </c>
      <c r="C559" s="4" t="s">
        <v>574</v>
      </c>
      <c r="D559" s="23" t="n">
        <v>29279000000</v>
      </c>
      <c r="E559" s="23" t="n">
        <v>10627000000</v>
      </c>
      <c r="F559" s="23" t="n">
        <v>5370000000</v>
      </c>
      <c r="G559" s="23" t="n">
        <v>10309000000</v>
      </c>
      <c r="H559" s="23" t="n">
        <v>3535000000</v>
      </c>
      <c r="I559" s="4" t="n">
        <v>3.26</v>
      </c>
      <c r="J559" s="23" t="n">
        <v>1080982000</v>
      </c>
      <c r="K559" s="23" t="n">
        <v>2022000000</v>
      </c>
      <c r="L559" s="23" t="n">
        <v>6302000000</v>
      </c>
      <c r="M559" s="23" t="n">
        <v>-7923000000</v>
      </c>
      <c r="N559" s="23" t="n">
        <v>-1621000000</v>
      </c>
      <c r="O559" s="23" t="n">
        <v>127000000</v>
      </c>
      <c r="P559" s="23" t="n">
        <v>59135000000</v>
      </c>
      <c r="Q559" s="23" t="n">
        <v>1917000000</v>
      </c>
      <c r="R559" s="23" t="n">
        <v>34532000000</v>
      </c>
      <c r="S559" s="4" t="n">
        <v>21.7713414634146</v>
      </c>
    </row>
    <row r="560" customFormat="false" ht="15" hidden="false" customHeight="false" outlineLevel="0" collapsed="false">
      <c r="A560" s="4" t="s">
        <v>520</v>
      </c>
      <c r="B560" s="4" t="n">
        <v>2021</v>
      </c>
      <c r="C560" s="4" t="s">
        <v>575</v>
      </c>
      <c r="D560" s="23" t="n">
        <v>23113000000</v>
      </c>
      <c r="E560" s="23" t="n">
        <v>10247000000</v>
      </c>
      <c r="F560" s="23" t="n">
        <v>3698000000</v>
      </c>
      <c r="G560" s="23" t="n">
        <v>8386000000</v>
      </c>
      <c r="H560" s="23" t="n">
        <v>2408000000</v>
      </c>
      <c r="I560" s="4" t="n">
        <v>2.26</v>
      </c>
      <c r="J560" s="23" t="n">
        <v>1061000000</v>
      </c>
      <c r="K560" s="23" t="n">
        <v>1837000000</v>
      </c>
      <c r="L560" s="23" t="n">
        <v>6169000000</v>
      </c>
      <c r="M560" s="23" t="n">
        <v>-7240000000</v>
      </c>
      <c r="N560" s="23" t="n">
        <v>-1071000000</v>
      </c>
      <c r="O560" s="23" t="n">
        <v>144000000</v>
      </c>
      <c r="P560" s="23" t="n">
        <v>55470000000</v>
      </c>
      <c r="Q560" s="23" t="n">
        <v>1798000000</v>
      </c>
      <c r="R560" s="23" t="n">
        <v>32567000000</v>
      </c>
      <c r="S560" s="4" t="n">
        <v>30.3451327433628</v>
      </c>
    </row>
    <row r="561" customFormat="false" ht="15" hidden="false" customHeight="false" outlineLevel="0" collapsed="false">
      <c r="A561" s="4" t="s">
        <v>523</v>
      </c>
      <c r="B561" s="4" t="n">
        <v>2025</v>
      </c>
      <c r="C561" s="4" t="s">
        <v>103</v>
      </c>
      <c r="D561" s="23" t="n">
        <v>4769597000</v>
      </c>
      <c r="E561" s="23" t="n">
        <v>3583035000</v>
      </c>
      <c r="F561" s="23" t="n">
        <v>525857000</v>
      </c>
      <c r="G561" s="23" t="n">
        <v>760008000</v>
      </c>
      <c r="H561" s="23" t="n">
        <v>481320000</v>
      </c>
      <c r="I561" s="4" t="n">
        <v>0.39</v>
      </c>
      <c r="J561" s="23" t="n">
        <v>1251767000</v>
      </c>
      <c r="K561" s="23" t="n">
        <v>1156243000</v>
      </c>
      <c r="L561" s="23" t="n">
        <v>-3742458000</v>
      </c>
      <c r="M561" s="23" t="n">
        <v>-242444000</v>
      </c>
      <c r="N561" s="23" t="n">
        <v>-3984902000</v>
      </c>
      <c r="O561" s="23" t="n">
        <v>262058000</v>
      </c>
      <c r="P561" s="23" t="n">
        <v>1934625000</v>
      </c>
      <c r="Q561" s="23" t="n">
        <v>7360432000</v>
      </c>
      <c r="R561" s="23" t="n">
        <v>10489495000</v>
      </c>
      <c r="S561" s="4" t="n">
        <v>62.3333333333333</v>
      </c>
    </row>
    <row r="562" customFormat="false" ht="15" hidden="false" customHeight="false" outlineLevel="0" collapsed="false">
      <c r="A562" s="4" t="s">
        <v>523</v>
      </c>
      <c r="B562" s="4" t="n">
        <v>2024</v>
      </c>
      <c r="C562" s="4" t="s">
        <v>572</v>
      </c>
      <c r="D562" s="23" t="n">
        <v>3703678000</v>
      </c>
      <c r="E562" s="23" t="n">
        <v>2580630000</v>
      </c>
      <c r="F562" s="23" t="n">
        <v>233345000</v>
      </c>
      <c r="G562" s="23" t="n">
        <v>436843000</v>
      </c>
      <c r="H562" s="23" t="n">
        <v>498665000</v>
      </c>
      <c r="I562" s="4" t="n">
        <v>0.39</v>
      </c>
      <c r="J562" s="23" t="n">
        <v>1101390000</v>
      </c>
      <c r="K562" s="23" t="n">
        <v>1091336000</v>
      </c>
      <c r="L562" s="23" t="n">
        <v>-1119807000</v>
      </c>
      <c r="M562" s="23" t="n">
        <v>-163617000</v>
      </c>
      <c r="N562" s="23" t="n">
        <v>-1283424000</v>
      </c>
      <c r="O562" s="23" t="n">
        <v>246152000</v>
      </c>
      <c r="P562" s="23" t="n">
        <v>3204210000</v>
      </c>
      <c r="Q562" s="23" t="n">
        <v>4342336000</v>
      </c>
      <c r="R562" s="23" t="n">
        <v>6525134000</v>
      </c>
      <c r="S562" s="4" t="n">
        <v>33.4782608695652</v>
      </c>
    </row>
    <row r="563" customFormat="false" ht="15" hidden="false" customHeight="false" outlineLevel="0" collapsed="false">
      <c r="A563" s="4" t="s">
        <v>523</v>
      </c>
      <c r="B563" s="4" t="n">
        <v>2023</v>
      </c>
      <c r="C563" s="4" t="s">
        <v>573</v>
      </c>
      <c r="D563" s="23" t="n">
        <v>2897542000</v>
      </c>
      <c r="E563" s="23" t="n">
        <v>2053270000</v>
      </c>
      <c r="F563" s="23" t="n">
        <v>-301158000</v>
      </c>
      <c r="G563" s="23" t="n">
        <v>-99742000</v>
      </c>
      <c r="H563" s="23" t="n">
        <v>-300742000</v>
      </c>
      <c r="I563" s="4" t="n">
        <v>-0.36</v>
      </c>
      <c r="J563" s="23" t="n">
        <v>945024160</v>
      </c>
      <c r="K563" s="23" t="n">
        <v>789327000</v>
      </c>
      <c r="L563" s="23" t="n">
        <v>-7227139000</v>
      </c>
      <c r="M563" s="23" t="n">
        <v>-121192000</v>
      </c>
      <c r="N563" s="23" t="n">
        <v>-7348331000</v>
      </c>
      <c r="O563" s="23" t="n">
        <v>271216000</v>
      </c>
      <c r="P563" s="23" t="n">
        <v>5362633000</v>
      </c>
      <c r="Q563" s="23" t="n">
        <v>3585962000</v>
      </c>
      <c r="R563" s="23" t="n">
        <v>5554986000</v>
      </c>
      <c r="S563" s="4" t="n">
        <v>-27.6388888888889</v>
      </c>
    </row>
    <row r="564" customFormat="false" ht="15" hidden="false" customHeight="false" outlineLevel="0" collapsed="false">
      <c r="A564" s="4" t="s">
        <v>523</v>
      </c>
      <c r="B564" s="4" t="n">
        <v>2022</v>
      </c>
      <c r="C564" s="4" t="s">
        <v>574</v>
      </c>
      <c r="D564" s="23" t="n">
        <v>1762810000</v>
      </c>
      <c r="E564" s="23" t="n">
        <v>1519203000</v>
      </c>
      <c r="F564" s="23" t="n">
        <v>-318721000</v>
      </c>
      <c r="G564" s="23" t="n">
        <v>-167361000</v>
      </c>
      <c r="H564" s="23" t="n">
        <v>-320407000</v>
      </c>
      <c r="I564" s="4" t="n">
        <v>-0.4</v>
      </c>
      <c r="J564" s="23" t="n">
        <v>900886113</v>
      </c>
      <c r="K564" s="23" t="n">
        <v>189275000</v>
      </c>
      <c r="L564" s="23" t="n">
        <v>-7255858000</v>
      </c>
      <c r="M564" s="23" t="n">
        <v>-103733000</v>
      </c>
      <c r="N564" s="23" t="n">
        <v>-7359591000</v>
      </c>
      <c r="O564" s="23" t="n">
        <v>305994000</v>
      </c>
      <c r="P564" s="23" t="n">
        <v>5634371000</v>
      </c>
      <c r="Q564" s="23" t="n">
        <v>1461339000</v>
      </c>
      <c r="R564" s="23" t="n">
        <v>5528476000</v>
      </c>
      <c r="S564" s="4" t="n">
        <v>-11.525</v>
      </c>
    </row>
    <row r="565" customFormat="false" ht="15" hidden="false" customHeight="false" outlineLevel="0" collapsed="false">
      <c r="A565" s="4" t="s">
        <v>523</v>
      </c>
      <c r="B565" s="4" t="n">
        <v>2021</v>
      </c>
      <c r="C565" s="4" t="s">
        <v>575</v>
      </c>
      <c r="D565" s="23" t="n">
        <v>1087648000</v>
      </c>
      <c r="E565" s="23" t="n">
        <v>977299000</v>
      </c>
      <c r="F565" s="23" t="n">
        <v>-481177000</v>
      </c>
      <c r="G565" s="23" t="n">
        <v>-379609000</v>
      </c>
      <c r="H565" s="23" t="n">
        <v>-483937000</v>
      </c>
      <c r="I565" s="4" t="n">
        <v>-1</v>
      </c>
      <c r="J565" s="23" t="n">
        <v>526730261</v>
      </c>
      <c r="K565" s="23" t="n">
        <v>102776000</v>
      </c>
      <c r="L565" s="23" t="n">
        <v>-1350217000</v>
      </c>
      <c r="M565" s="23" t="n">
        <v>-52261000</v>
      </c>
      <c r="N565" s="23" t="n">
        <v>-1402478000</v>
      </c>
      <c r="O565" s="23" t="n">
        <v>239011000</v>
      </c>
      <c r="P565" s="23" t="n">
        <v>4194633000</v>
      </c>
      <c r="Q565" s="23" t="n">
        <v>689618000</v>
      </c>
      <c r="R565" s="23" t="n">
        <v>4697703000</v>
      </c>
      <c r="S565" s="4" t="n">
        <v>-15.81</v>
      </c>
    </row>
    <row r="566" customFormat="false" ht="15" hidden="false" customHeight="false" outlineLevel="0" collapsed="false">
      <c r="A566" s="4" t="s">
        <v>527</v>
      </c>
      <c r="B566" s="4" t="n">
        <v>2025</v>
      </c>
      <c r="C566" s="4" t="s">
        <v>103</v>
      </c>
      <c r="D566" s="23" t="n">
        <v>125648000000</v>
      </c>
      <c r="E566" s="23" t="n">
        <v>74828000000</v>
      </c>
      <c r="F566" s="23" t="n">
        <v>25000000000</v>
      </c>
      <c r="G566" s="23" t="n">
        <v>54697000000</v>
      </c>
      <c r="H566" s="23" t="n">
        <v>21889000000</v>
      </c>
      <c r="I566" s="4" t="n">
        <v>3.04</v>
      </c>
      <c r="J566" s="23" t="n">
        <v>7179000000</v>
      </c>
      <c r="K566" s="23" t="n">
        <v>6804000000</v>
      </c>
      <c r="L566" s="23" t="n">
        <v>40284000000</v>
      </c>
      <c r="M566" s="23" t="n">
        <v>-20842000000</v>
      </c>
      <c r="N566" s="23" t="n">
        <v>19442000000</v>
      </c>
      <c r="O566" s="23" t="n">
        <v>0</v>
      </c>
      <c r="P566" s="23" t="n">
        <v>173986000000</v>
      </c>
      <c r="Q566" s="23" t="n">
        <v>18234000000</v>
      </c>
      <c r="R566" s="23" t="n">
        <v>128492000000</v>
      </c>
      <c r="S566" s="4" t="n">
        <v>8.17105263157895</v>
      </c>
    </row>
    <row r="567" customFormat="false" ht="15" hidden="false" customHeight="false" outlineLevel="0" collapsed="false">
      <c r="A567" s="4" t="s">
        <v>527</v>
      </c>
      <c r="B567" s="4" t="n">
        <v>2024</v>
      </c>
      <c r="C567" s="4" t="s">
        <v>572</v>
      </c>
      <c r="D567" s="23" t="n">
        <v>122336000000</v>
      </c>
      <c r="E567" s="23" t="n">
        <v>52535000000</v>
      </c>
      <c r="F567" s="23" t="n">
        <v>24261000000</v>
      </c>
      <c r="G567" s="23" t="n">
        <v>44023000000</v>
      </c>
      <c r="H567" s="23" t="n">
        <v>10948000000</v>
      </c>
      <c r="I567" s="4" t="n">
        <v>1.49</v>
      </c>
      <c r="J567" s="23" t="n">
        <v>7204000000</v>
      </c>
      <c r="K567" s="23" t="n">
        <v>6745000000</v>
      </c>
      <c r="L567" s="23" t="n">
        <v>38771000000</v>
      </c>
      <c r="M567" s="23" t="n">
        <v>-20263000000</v>
      </c>
      <c r="N567" s="23" t="n">
        <v>18508000000</v>
      </c>
      <c r="O567" s="23" t="n">
        <v>0</v>
      </c>
      <c r="P567" s="23" t="n">
        <v>140923000000</v>
      </c>
      <c r="Q567" s="23" t="n">
        <v>3298000000</v>
      </c>
      <c r="R567" s="23" t="n">
        <v>120225000000</v>
      </c>
      <c r="S567" s="4" t="n">
        <v>15.2818791946309</v>
      </c>
    </row>
    <row r="568" customFormat="false" ht="15" hidden="false" customHeight="false" outlineLevel="0" collapsed="false">
      <c r="A568" s="4" t="s">
        <v>527</v>
      </c>
      <c r="B568" s="4" t="n">
        <v>2023</v>
      </c>
      <c r="C568" s="4" t="s">
        <v>573</v>
      </c>
      <c r="D568" s="23" t="n">
        <v>122428000000</v>
      </c>
      <c r="E568" s="23" t="n">
        <v>53528000000</v>
      </c>
      <c r="F568" s="23" t="n">
        <v>24768000000</v>
      </c>
      <c r="G568" s="23" t="n">
        <v>45317000000</v>
      </c>
      <c r="H568" s="23" t="n">
        <v>14400000000</v>
      </c>
      <c r="I568" s="4" t="n">
        <v>1.97</v>
      </c>
      <c r="J568" s="23" t="n">
        <v>7258000000</v>
      </c>
      <c r="K568" s="23" t="n">
        <v>6692000000</v>
      </c>
      <c r="L568" s="23" t="n">
        <v>38314000000</v>
      </c>
      <c r="M568" s="23" t="n">
        <v>-17853000000</v>
      </c>
      <c r="N568" s="23" t="n">
        <v>20461000000</v>
      </c>
      <c r="O568" s="23" t="n">
        <v>0</v>
      </c>
      <c r="P568" s="23" t="n">
        <v>154899000000</v>
      </c>
      <c r="Q568" s="23" t="n">
        <v>6722000000</v>
      </c>
      <c r="R568" s="23" t="n">
        <v>119415000000</v>
      </c>
      <c r="S568" s="4" t="n">
        <v>8.51776649746193</v>
      </c>
    </row>
    <row r="569" customFormat="false" ht="15" hidden="false" customHeight="false" outlineLevel="0" collapsed="false">
      <c r="A569" s="4" t="s">
        <v>527</v>
      </c>
      <c r="B569" s="4" t="n">
        <v>2022</v>
      </c>
      <c r="C569" s="4" t="s">
        <v>574</v>
      </c>
      <c r="D569" s="23" t="n">
        <v>120741000000</v>
      </c>
      <c r="E569" s="23" t="n">
        <v>69893000000</v>
      </c>
      <c r="F569" s="23" t="n">
        <v>-4587000000</v>
      </c>
      <c r="G569" s="23" t="n">
        <v>21066000000</v>
      </c>
      <c r="H569" s="23" t="n">
        <v>-8524000000</v>
      </c>
      <c r="I569" s="4" t="n">
        <v>-1.13</v>
      </c>
      <c r="J569" s="23" t="n">
        <v>7587000000</v>
      </c>
      <c r="K569" s="23" t="n">
        <v>6139000000</v>
      </c>
      <c r="L569" s="23" t="n">
        <v>32023000000</v>
      </c>
      <c r="M569" s="23" t="n">
        <v>-19626000000</v>
      </c>
      <c r="N569" s="23" t="n">
        <v>12397000000</v>
      </c>
      <c r="O569" s="23" t="n">
        <v>518000000</v>
      </c>
      <c r="P569" s="23" t="n">
        <v>154679000000</v>
      </c>
      <c r="Q569" s="23" t="n">
        <v>3701000000</v>
      </c>
      <c r="R569" s="23" t="n">
        <v>106457000000</v>
      </c>
      <c r="S569" s="4" t="n">
        <v>-15.0901639344262</v>
      </c>
    </row>
    <row r="570" customFormat="false" ht="15" hidden="false" customHeight="false" outlineLevel="0" collapsed="false">
      <c r="A570" s="4" t="s">
        <v>527</v>
      </c>
      <c r="B570" s="4" t="n">
        <v>2021</v>
      </c>
      <c r="C570" s="4" t="s">
        <v>575</v>
      </c>
      <c r="D570" s="23" t="n">
        <v>134038000000</v>
      </c>
      <c r="E570" s="23" t="n">
        <v>73631000000</v>
      </c>
      <c r="F570" s="23" t="n">
        <v>25897000000</v>
      </c>
      <c r="G570" s="23" t="n">
        <v>53719000000</v>
      </c>
      <c r="H570" s="23" t="n">
        <v>20081000000</v>
      </c>
      <c r="I570" s="4" t="n">
        <v>2.73</v>
      </c>
      <c r="J570" s="23" t="n">
        <v>7503000000</v>
      </c>
      <c r="K570" s="23" t="n">
        <v>6696000000</v>
      </c>
      <c r="L570" s="23" t="n">
        <v>41957000000</v>
      </c>
      <c r="M570" s="23" t="n">
        <v>-16527000000</v>
      </c>
      <c r="N570" s="23" t="n">
        <v>25430000000</v>
      </c>
      <c r="O570" s="23" t="n">
        <v>0</v>
      </c>
      <c r="P570" s="23" t="n">
        <v>195832000000</v>
      </c>
      <c r="Q570" s="23" t="n">
        <v>19223000000</v>
      </c>
      <c r="R570" s="23" t="n">
        <v>183855000000</v>
      </c>
      <c r="S570" s="4" t="n">
        <v>6.70397111913357</v>
      </c>
    </row>
    <row r="571" customFormat="false" ht="15" hidden="false" customHeight="false" outlineLevel="0" collapsed="false">
      <c r="A571" s="4" t="s">
        <v>531</v>
      </c>
      <c r="B571" s="4" t="n">
        <v>2025</v>
      </c>
      <c r="C571" s="4" t="s">
        <v>103</v>
      </c>
      <c r="D571" s="23" t="n">
        <v>88309000000</v>
      </c>
      <c r="E571" s="23" t="n">
        <v>42068000000</v>
      </c>
      <c r="F571" s="23" t="n">
        <v>18744000000</v>
      </c>
      <c r="G571" s="23" t="n">
        <v>31309000000</v>
      </c>
      <c r="H571" s="23" t="n">
        <v>10992000000</v>
      </c>
      <c r="I571" s="4" t="n">
        <v>9.72</v>
      </c>
      <c r="J571" s="23" t="n">
        <v>1131076000</v>
      </c>
      <c r="K571" s="23" t="n">
        <v>3520000000</v>
      </c>
      <c r="L571" s="23" t="n">
        <v>27950000000</v>
      </c>
      <c r="M571" s="23" t="n">
        <v>-12523000000</v>
      </c>
      <c r="N571" s="23" t="n">
        <v>15427000000</v>
      </c>
      <c r="O571" s="23" t="n">
        <v>829000000</v>
      </c>
      <c r="P571" s="23" t="n">
        <v>122269000000</v>
      </c>
      <c r="Q571" s="23" t="n">
        <v>5598000000</v>
      </c>
      <c r="R571" s="23" t="n">
        <v>59203000000</v>
      </c>
      <c r="S571" s="4" t="n">
        <v>20.8246153846154</v>
      </c>
    </row>
    <row r="572" customFormat="false" ht="15" hidden="false" customHeight="false" outlineLevel="0" collapsed="false">
      <c r="A572" s="4" t="s">
        <v>531</v>
      </c>
      <c r="B572" s="4" t="n">
        <v>2024</v>
      </c>
      <c r="C572" s="4" t="s">
        <v>572</v>
      </c>
      <c r="D572" s="23" t="n">
        <v>81400000000</v>
      </c>
      <c r="E572" s="23" t="n">
        <v>51747000000</v>
      </c>
      <c r="F572" s="23" t="n">
        <v>18010000000</v>
      </c>
      <c r="G572" s="23" t="n">
        <v>31042000000</v>
      </c>
      <c r="H572" s="23" t="n">
        <v>11339000000</v>
      </c>
      <c r="I572" s="4" t="n">
        <v>9.66</v>
      </c>
      <c r="J572" s="23" t="n">
        <v>1173214000</v>
      </c>
      <c r="K572" s="23" t="n">
        <v>3411000000</v>
      </c>
      <c r="L572" s="23" t="n">
        <v>22293000000</v>
      </c>
      <c r="M572" s="23" t="n">
        <v>-12311000000</v>
      </c>
      <c r="N572" s="23" t="n">
        <v>9982000000</v>
      </c>
      <c r="O572" s="23" t="n">
        <v>649000000</v>
      </c>
      <c r="P572" s="23" t="n">
        <v>114404000000</v>
      </c>
      <c r="Q572" s="23" t="n">
        <v>5409000000</v>
      </c>
      <c r="R572" s="23" t="n">
        <v>61741000000</v>
      </c>
      <c r="S572" s="4" t="n">
        <v>22.7556701030928</v>
      </c>
    </row>
    <row r="573" customFormat="false" ht="15" hidden="false" customHeight="false" outlineLevel="0" collapsed="false">
      <c r="A573" s="4" t="s">
        <v>531</v>
      </c>
      <c r="B573" s="4" t="n">
        <v>2023</v>
      </c>
      <c r="C573" s="4" t="s">
        <v>573</v>
      </c>
      <c r="D573" s="23" t="n">
        <v>78558000000</v>
      </c>
      <c r="E573" s="23" t="n">
        <v>48370000000</v>
      </c>
      <c r="F573" s="23" t="n">
        <v>14266000000</v>
      </c>
      <c r="G573" s="23" t="n">
        <v>27152000000</v>
      </c>
      <c r="H573" s="23" t="n">
        <v>8317000000</v>
      </c>
      <c r="I573" s="4" t="n">
        <v>6.93</v>
      </c>
      <c r="J573" s="23" t="n">
        <v>1200286000</v>
      </c>
      <c r="K573" s="23" t="n">
        <v>3335000000</v>
      </c>
      <c r="L573" s="23" t="n">
        <v>18559000000</v>
      </c>
      <c r="M573" s="23" t="n">
        <v>-10811000000</v>
      </c>
      <c r="N573" s="23" t="n">
        <v>7748000000</v>
      </c>
      <c r="O573" s="23" t="n">
        <v>667000000</v>
      </c>
      <c r="P573" s="23" t="n">
        <v>113826000000</v>
      </c>
      <c r="Q573" s="23" t="n">
        <v>5135000000</v>
      </c>
      <c r="R573" s="23" t="n">
        <v>64715000000</v>
      </c>
      <c r="S573" s="4" t="n">
        <v>22.8390313390313</v>
      </c>
    </row>
    <row r="574" customFormat="false" ht="15" hidden="false" customHeight="false" outlineLevel="0" collapsed="false">
      <c r="A574" s="4" t="s">
        <v>531</v>
      </c>
      <c r="B574" s="4" t="n">
        <v>2022</v>
      </c>
      <c r="C574" s="4" t="s">
        <v>574</v>
      </c>
      <c r="D574" s="23" t="n">
        <v>79571000000</v>
      </c>
      <c r="E574" s="23" t="n">
        <v>43365000000</v>
      </c>
      <c r="F574" s="23" t="n">
        <v>6543000000</v>
      </c>
      <c r="G574" s="23" t="n">
        <v>20161000000</v>
      </c>
      <c r="H574" s="23" t="n">
        <v>2590000000</v>
      </c>
      <c r="I574" s="4" t="n">
        <v>2.06</v>
      </c>
      <c r="J574" s="23" t="n">
        <v>1255377000</v>
      </c>
      <c r="K574" s="23" t="n">
        <v>3364000000</v>
      </c>
      <c r="L574" s="23" t="n">
        <v>16781000000</v>
      </c>
      <c r="M574" s="23" t="n">
        <v>-17301000000</v>
      </c>
      <c r="N574" s="23" t="n">
        <v>-520000000</v>
      </c>
      <c r="O574" s="23" t="n">
        <v>595000000</v>
      </c>
      <c r="P574" s="23" t="n">
        <v>111792000000</v>
      </c>
      <c r="Q574" s="23" t="n">
        <v>4507000000</v>
      </c>
      <c r="R574" s="23" t="n">
        <v>69656000000</v>
      </c>
      <c r="S574" s="4" t="n">
        <v>67.6328502415459</v>
      </c>
    </row>
    <row r="575" customFormat="false" ht="15" hidden="false" customHeight="false" outlineLevel="0" collapsed="false">
      <c r="A575" s="4" t="s">
        <v>531</v>
      </c>
      <c r="B575" s="4" t="n">
        <v>2021</v>
      </c>
      <c r="C575" s="4" t="s">
        <v>575</v>
      </c>
      <c r="D575" s="23" t="n">
        <v>80118000000</v>
      </c>
      <c r="E575" s="23" t="n">
        <v>43513000000</v>
      </c>
      <c r="F575" s="23" t="n">
        <v>6892000000</v>
      </c>
      <c r="G575" s="23" t="n">
        <v>23076000000</v>
      </c>
      <c r="H575" s="23" t="n">
        <v>3024000000</v>
      </c>
      <c r="I575" s="4" t="n">
        <v>2.41</v>
      </c>
      <c r="J575" s="23" t="n">
        <v>1254770000</v>
      </c>
      <c r="K575" s="23" t="n">
        <v>3342000000</v>
      </c>
      <c r="L575" s="23" t="n">
        <v>13917000000</v>
      </c>
      <c r="M575" s="23" t="n">
        <v>-21692000000</v>
      </c>
      <c r="N575" s="23" t="n">
        <v>-7775000000</v>
      </c>
      <c r="O575" s="23" t="n">
        <v>540000000</v>
      </c>
      <c r="P575" s="23" t="n">
        <v>108817000000</v>
      </c>
      <c r="Q575" s="23" t="n">
        <v>6631000000</v>
      </c>
      <c r="R575" s="23" t="n">
        <v>69102000000</v>
      </c>
      <c r="S575" s="4" t="n">
        <v>47.9256198347107</v>
      </c>
    </row>
    <row r="576" customFormat="false" ht="15" hidden="false" customHeight="false" outlineLevel="0" collapsed="false">
      <c r="A576" s="4" t="s">
        <v>534</v>
      </c>
      <c r="B576" s="4" t="n">
        <v>2025</v>
      </c>
      <c r="C576" s="4" t="s">
        <v>103</v>
      </c>
      <c r="D576" s="23" t="n">
        <v>94827000000</v>
      </c>
      <c r="E576" s="23" t="n">
        <v>17094000000</v>
      </c>
      <c r="F576" s="23" t="n">
        <v>4355000000</v>
      </c>
      <c r="G576" s="23" t="n">
        <v>11764000000</v>
      </c>
      <c r="H576" s="23" t="n">
        <v>3794000000</v>
      </c>
      <c r="I576" s="4" t="n">
        <v>1.08</v>
      </c>
      <c r="J576" s="23" t="n">
        <v>3528000000</v>
      </c>
      <c r="K576" s="23" t="n">
        <v>338000000</v>
      </c>
      <c r="L576" s="23" t="n">
        <v>14747000000</v>
      </c>
      <c r="M576" s="23" t="n">
        <v>-8527000000</v>
      </c>
      <c r="N576" s="23" t="n">
        <v>6220000000</v>
      </c>
      <c r="O576" s="23" t="n">
        <v>2825000000</v>
      </c>
      <c r="P576" s="23" t="n">
        <v>8376000000</v>
      </c>
      <c r="Q576" s="23" t="n">
        <v>44059000000</v>
      </c>
      <c r="R576" s="23" t="n">
        <v>82865000000</v>
      </c>
      <c r="S576" s="4" t="n">
        <v>381.118644067797</v>
      </c>
    </row>
    <row r="577" customFormat="false" ht="15" hidden="false" customHeight="false" outlineLevel="0" collapsed="false">
      <c r="A577" s="4" t="s">
        <v>534</v>
      </c>
      <c r="B577" s="4" t="n">
        <v>2024</v>
      </c>
      <c r="C577" s="4" t="s">
        <v>572</v>
      </c>
      <c r="D577" s="23" t="n">
        <v>97690000000</v>
      </c>
      <c r="E577" s="23" t="n">
        <v>17450000000</v>
      </c>
      <c r="F577" s="23" t="n">
        <v>7076000000</v>
      </c>
      <c r="G577" s="23" t="n">
        <v>14708000000</v>
      </c>
      <c r="H577" s="23" t="n">
        <v>7130000000</v>
      </c>
      <c r="I577" s="4" t="n">
        <v>2.0383</v>
      </c>
      <c r="J577" s="23" t="n">
        <v>3498000000</v>
      </c>
      <c r="K577" s="23" t="n">
        <v>350000000</v>
      </c>
      <c r="L577" s="23" t="n">
        <v>14923000000</v>
      </c>
      <c r="M577" s="23" t="n">
        <v>-11342000000</v>
      </c>
      <c r="N577" s="23" t="n">
        <v>3581000000</v>
      </c>
      <c r="O577" s="23" t="n">
        <v>1999000000</v>
      </c>
      <c r="P577" s="23" t="n">
        <v>13623000000</v>
      </c>
      <c r="Q577" s="23" t="n">
        <v>36563000000</v>
      </c>
      <c r="R577" s="23" t="n">
        <v>73680000000</v>
      </c>
      <c r="S577" s="4" t="n">
        <v>181.077930230473</v>
      </c>
    </row>
    <row r="578" customFormat="false" ht="15" hidden="false" customHeight="false" outlineLevel="0" collapsed="false">
      <c r="A578" s="4" t="s">
        <v>534</v>
      </c>
      <c r="B578" s="4" t="n">
        <v>2023</v>
      </c>
      <c r="C578" s="4" t="s">
        <v>573</v>
      </c>
      <c r="D578" s="23" t="n">
        <v>96773000000</v>
      </c>
      <c r="E578" s="23" t="n">
        <v>17660000000</v>
      </c>
      <c r="F578" s="23" t="n">
        <v>8891000000</v>
      </c>
      <c r="G578" s="23" t="n">
        <v>14796000000</v>
      </c>
      <c r="H578" s="23" t="n">
        <v>14999000000</v>
      </c>
      <c r="I578" s="4" t="n">
        <v>4.31</v>
      </c>
      <c r="J578" s="23" t="n">
        <v>3482750000</v>
      </c>
      <c r="K578" s="23" t="n">
        <v>156000000</v>
      </c>
      <c r="L578" s="23" t="n">
        <v>13256000000</v>
      </c>
      <c r="M578" s="23" t="n">
        <v>-8899000000</v>
      </c>
      <c r="N578" s="23" t="n">
        <v>4357000000</v>
      </c>
      <c r="O578" s="23" t="n">
        <v>1812000000</v>
      </c>
      <c r="P578" s="23" t="n">
        <v>9573000000</v>
      </c>
      <c r="Q578" s="23" t="n">
        <v>29094000000</v>
      </c>
      <c r="R578" s="23" t="n">
        <v>63609000000</v>
      </c>
      <c r="S578" s="4" t="n">
        <v>52.5327695560254</v>
      </c>
    </row>
    <row r="579" customFormat="false" ht="15" hidden="false" customHeight="false" outlineLevel="0" collapsed="false">
      <c r="A579" s="4" t="s">
        <v>534</v>
      </c>
      <c r="B579" s="4" t="n">
        <v>2022</v>
      </c>
      <c r="C579" s="4" t="s">
        <v>574</v>
      </c>
      <c r="D579" s="23" t="n">
        <v>81462000000</v>
      </c>
      <c r="E579" s="23" t="n">
        <v>20853000000</v>
      </c>
      <c r="F579" s="23" t="n">
        <v>13656000000</v>
      </c>
      <c r="G579" s="23" t="n">
        <v>17453000000</v>
      </c>
      <c r="H579" s="23" t="n">
        <v>12583000000</v>
      </c>
      <c r="I579" s="4" t="n">
        <v>3.62</v>
      </c>
      <c r="J579" s="23" t="n">
        <v>3475000000</v>
      </c>
      <c r="K579" s="23" t="n">
        <v>191000000</v>
      </c>
      <c r="L579" s="23" t="n">
        <v>14724000000</v>
      </c>
      <c r="M579" s="23" t="n">
        <v>-7172000000</v>
      </c>
      <c r="N579" s="23" t="n">
        <v>7552000000</v>
      </c>
      <c r="O579" s="23" t="n">
        <v>1560000000</v>
      </c>
      <c r="P579" s="23" t="n">
        <v>5748000000</v>
      </c>
      <c r="Q579" s="23" t="n">
        <v>22185000000</v>
      </c>
      <c r="R579" s="23" t="n">
        <v>45898000000</v>
      </c>
      <c r="S579" s="4" t="n">
        <v>30.6417910447761</v>
      </c>
    </row>
    <row r="580" customFormat="false" ht="15" hidden="false" customHeight="false" outlineLevel="0" collapsed="false">
      <c r="A580" s="4" t="s">
        <v>534</v>
      </c>
      <c r="B580" s="4" t="n">
        <v>2021</v>
      </c>
      <c r="C580" s="4" t="s">
        <v>575</v>
      </c>
      <c r="D580" s="23" t="n">
        <v>53823000000</v>
      </c>
      <c r="E580" s="23" t="n">
        <v>13606000000</v>
      </c>
      <c r="F580" s="23" t="n">
        <v>6523000000</v>
      </c>
      <c r="G580" s="23" t="n">
        <v>9625000000</v>
      </c>
      <c r="H580" s="23" t="n">
        <v>5524000000</v>
      </c>
      <c r="I580" s="4" t="n">
        <v>1.63</v>
      </c>
      <c r="J580" s="23" t="n">
        <v>3386000000</v>
      </c>
      <c r="K580" s="23" t="n">
        <v>371000000</v>
      </c>
      <c r="L580" s="23" t="n">
        <v>11497000000</v>
      </c>
      <c r="M580" s="23" t="n">
        <v>-8014000000</v>
      </c>
      <c r="N580" s="23" t="n">
        <v>3483000000</v>
      </c>
      <c r="O580" s="23" t="n">
        <v>2121000000</v>
      </c>
      <c r="P580" s="23" t="n">
        <v>8873000000</v>
      </c>
      <c r="Q580" s="23" t="n">
        <v>17707000000</v>
      </c>
      <c r="R580" s="23" t="n">
        <v>31583000000</v>
      </c>
      <c r="S580" s="4" t="n">
        <v>188.374331550802</v>
      </c>
    </row>
    <row r="581" customFormat="false" ht="15" hidden="false" customHeight="false" outlineLevel="0" collapsed="false">
      <c r="A581" s="4" t="s">
        <v>538</v>
      </c>
      <c r="B581" s="4" t="n">
        <v>2025</v>
      </c>
      <c r="C581" s="4" t="s">
        <v>103</v>
      </c>
      <c r="D581" s="23" t="n">
        <v>52017000000</v>
      </c>
      <c r="E581" s="23" t="n">
        <v>20679000000</v>
      </c>
      <c r="F581" s="23" t="n">
        <v>5565000000</v>
      </c>
      <c r="G581" s="23" t="n">
        <v>6987000000</v>
      </c>
      <c r="H581" s="23" t="n">
        <v>10053000000</v>
      </c>
      <c r="I581" s="4" t="n">
        <v>4.73</v>
      </c>
      <c r="J581" s="23" t="n">
        <v>2119689000</v>
      </c>
      <c r="K581" s="23" t="n">
        <v>440000000</v>
      </c>
      <c r="L581" s="23" t="n">
        <v>10099000000</v>
      </c>
      <c r="M581" s="23" t="n">
        <v>-336000000</v>
      </c>
      <c r="N581" s="23" t="n">
        <v>9763000000</v>
      </c>
      <c r="O581" s="23" t="n">
        <v>1826000000</v>
      </c>
      <c r="P581" s="23" t="n">
        <v>12080000000</v>
      </c>
      <c r="Q581" s="23" t="n">
        <v>7633000000</v>
      </c>
      <c r="R581" s="23" t="n">
        <v>28083000000</v>
      </c>
      <c r="S581" s="4" t="n">
        <v>16.9522821576764</v>
      </c>
    </row>
    <row r="582" customFormat="false" ht="15" hidden="false" customHeight="false" outlineLevel="0" collapsed="false">
      <c r="A582" s="4" t="s">
        <v>538</v>
      </c>
      <c r="B582" s="4" t="n">
        <v>2024</v>
      </c>
      <c r="C582" s="4" t="s">
        <v>572</v>
      </c>
      <c r="D582" s="23" t="n">
        <v>43978000000</v>
      </c>
      <c r="E582" s="23" t="n">
        <v>17327000000</v>
      </c>
      <c r="F582" s="23" t="n">
        <v>2799000000</v>
      </c>
      <c r="G582" s="23" t="n">
        <v>5385000000</v>
      </c>
      <c r="H582" s="23" t="n">
        <v>9856000000</v>
      </c>
      <c r="I582" s="4" t="n">
        <v>4.56</v>
      </c>
      <c r="J582" s="23" t="n">
        <v>2150508000</v>
      </c>
      <c r="K582" s="23" t="n">
        <v>523000000</v>
      </c>
      <c r="L582" s="23" t="n">
        <v>7137000000</v>
      </c>
      <c r="M582" s="23" t="n">
        <v>-242000000</v>
      </c>
      <c r="N582" s="23" t="n">
        <v>6895000000</v>
      </c>
      <c r="O582" s="23" t="n">
        <v>1796000000</v>
      </c>
      <c r="P582" s="23" t="n">
        <v>11436000000</v>
      </c>
      <c r="Q582" s="23" t="n">
        <v>7522000000</v>
      </c>
      <c r="R582" s="23" t="n">
        <v>22476000000</v>
      </c>
      <c r="S582" s="4" t="n">
        <v>12.8067940552017</v>
      </c>
    </row>
    <row r="583" customFormat="false" ht="15" hidden="false" customHeight="false" outlineLevel="0" collapsed="false">
      <c r="A583" s="4" t="s">
        <v>538</v>
      </c>
      <c r="B583" s="4" t="n">
        <v>2023</v>
      </c>
      <c r="C583" s="4" t="s">
        <v>573</v>
      </c>
      <c r="D583" s="23" t="n">
        <v>37281000000</v>
      </c>
      <c r="E583" s="23" t="n">
        <v>14824000000</v>
      </c>
      <c r="F583" s="23" t="n">
        <v>1110000000</v>
      </c>
      <c r="G583" s="23" t="n">
        <v>3777000000</v>
      </c>
      <c r="H583" s="23" t="n">
        <v>1887000000</v>
      </c>
      <c r="I583" s="4" t="n">
        <v>0.87</v>
      </c>
      <c r="J583" s="23" t="n">
        <v>2091782000</v>
      </c>
      <c r="K583" s="23" t="n">
        <v>633000000</v>
      </c>
      <c r="L583" s="23" t="n">
        <v>3585000000</v>
      </c>
      <c r="M583" s="23" t="n">
        <v>-223000000</v>
      </c>
      <c r="N583" s="23" t="n">
        <v>3362000000</v>
      </c>
      <c r="O583" s="23" t="n">
        <v>1935000000</v>
      </c>
      <c r="P583" s="23" t="n">
        <v>11830000000</v>
      </c>
      <c r="Q583" s="23" t="n">
        <v>6212000000</v>
      </c>
      <c r="R583" s="23" t="n">
        <v>12682000000</v>
      </c>
      <c r="S583" s="4" t="n">
        <v>68.4111111111111</v>
      </c>
    </row>
    <row r="584" customFormat="false" ht="15" hidden="false" customHeight="false" outlineLevel="0" collapsed="false">
      <c r="A584" s="4" t="s">
        <v>538</v>
      </c>
      <c r="B584" s="4" t="n">
        <v>2022</v>
      </c>
      <c r="C584" s="4" t="s">
        <v>574</v>
      </c>
      <c r="D584" s="23" t="n">
        <v>31877000000</v>
      </c>
      <c r="E584" s="23" t="n">
        <v>12218000000</v>
      </c>
      <c r="F584" s="23" t="n">
        <v>-1832000000</v>
      </c>
      <c r="G584" s="23" t="n">
        <v>-7914000000</v>
      </c>
      <c r="H584" s="23" t="n">
        <v>-9141000000</v>
      </c>
      <c r="I584" s="4" t="n">
        <v>-4.65</v>
      </c>
      <c r="J584" s="23" t="n">
        <v>1974928000</v>
      </c>
      <c r="K584" s="23" t="n">
        <v>565000000</v>
      </c>
      <c r="L584" s="23" t="n">
        <v>642000000</v>
      </c>
      <c r="M584" s="23" t="n">
        <v>-252000000</v>
      </c>
      <c r="N584" s="23" t="n">
        <v>390000000</v>
      </c>
      <c r="O584" s="23" t="n">
        <v>1793000000</v>
      </c>
      <c r="P584" s="23" t="n">
        <v>11717000000</v>
      </c>
      <c r="Q584" s="23" t="n">
        <v>4991000000</v>
      </c>
      <c r="R584" s="23" t="n">
        <v>8504000000</v>
      </c>
      <c r="S584" s="4" t="n">
        <v>-5.32974137931035</v>
      </c>
    </row>
    <row r="585" customFormat="false" ht="15" hidden="false" customHeight="false" outlineLevel="0" collapsed="false">
      <c r="A585" s="4" t="s">
        <v>538</v>
      </c>
      <c r="B585" s="4" t="n">
        <v>2021</v>
      </c>
      <c r="C585" s="4" t="s">
        <v>575</v>
      </c>
      <c r="D585" s="23" t="n">
        <v>17455000000</v>
      </c>
      <c r="E585" s="23" t="n">
        <v>8104000000</v>
      </c>
      <c r="F585" s="23" t="n">
        <v>-3834000000</v>
      </c>
      <c r="G585" s="23" t="n">
        <v>360000000</v>
      </c>
      <c r="H585" s="23" t="n">
        <v>-496000000</v>
      </c>
      <c r="I585" s="4" t="n">
        <v>-0.26</v>
      </c>
      <c r="J585" s="23" t="n">
        <v>1892546000</v>
      </c>
      <c r="K585" s="23" t="n">
        <v>483000000</v>
      </c>
      <c r="L585" s="23" t="n">
        <v>-445000000</v>
      </c>
      <c r="M585" s="23" t="n">
        <v>-298000000</v>
      </c>
      <c r="N585" s="23" t="n">
        <v>-743000000</v>
      </c>
      <c r="O585" s="23" t="n">
        <v>1168000000</v>
      </c>
      <c r="P585" s="23" t="n">
        <v>11604000000</v>
      </c>
      <c r="Q585" s="23" t="n">
        <v>4926000000</v>
      </c>
      <c r="R585" s="23" t="n">
        <v>15349000000</v>
      </c>
      <c r="S585" s="4" t="n">
        <v>-161.269230769231</v>
      </c>
    </row>
    <row r="586" customFormat="false" ht="15" hidden="false" customHeight="false" outlineLevel="0" collapsed="false">
      <c r="A586" s="4" t="s">
        <v>542</v>
      </c>
      <c r="B586" s="4" t="n">
        <v>2025</v>
      </c>
      <c r="C586" s="4" t="s">
        <v>103</v>
      </c>
      <c r="D586" s="23" t="n">
        <v>447567000000</v>
      </c>
      <c r="E586" s="23" t="n">
        <v>82917000000</v>
      </c>
      <c r="F586" s="23" t="n">
        <v>18964000000</v>
      </c>
      <c r="G586" s="23" t="n">
        <v>23060000000</v>
      </c>
      <c r="H586" s="23" t="n">
        <v>12056000000</v>
      </c>
      <c r="I586" s="4" t="n">
        <v>13.23</v>
      </c>
      <c r="J586" s="23" t="n">
        <v>910000000</v>
      </c>
      <c r="K586" s="23" t="n">
        <v>4002000000</v>
      </c>
      <c r="L586" s="23" t="n">
        <v>19697000000</v>
      </c>
      <c r="M586" s="23" t="n">
        <v>-3622000000</v>
      </c>
      <c r="N586" s="23" t="n">
        <v>16075000000</v>
      </c>
      <c r="O586" s="23" t="n">
        <v>971000000</v>
      </c>
      <c r="P586" s="23" t="n">
        <v>78389000000</v>
      </c>
      <c r="Q586" s="23" t="n">
        <v>28121000000</v>
      </c>
      <c r="R586" s="23" t="n">
        <v>101698000000</v>
      </c>
      <c r="S586" s="4" t="n">
        <v>24.9516250944822</v>
      </c>
    </row>
    <row r="587" customFormat="false" ht="15" hidden="false" customHeight="false" outlineLevel="0" collapsed="false">
      <c r="A587" s="4" t="s">
        <v>542</v>
      </c>
      <c r="B587" s="4" t="n">
        <v>2024</v>
      </c>
      <c r="C587" s="4" t="s">
        <v>572</v>
      </c>
      <c r="D587" s="23" t="n">
        <v>400278000000</v>
      </c>
      <c r="E587" s="23" t="n">
        <v>89399000000</v>
      </c>
      <c r="F587" s="23" t="n">
        <v>32287000000</v>
      </c>
      <c r="G587" s="23" t="n">
        <v>28076000000</v>
      </c>
      <c r="H587" s="23" t="n">
        <v>14405000000</v>
      </c>
      <c r="I587" s="4" t="n">
        <v>15.51</v>
      </c>
      <c r="J587" s="23" t="n">
        <v>929000000</v>
      </c>
      <c r="K587" s="23" t="n">
        <v>3906000000</v>
      </c>
      <c r="L587" s="23" t="n">
        <v>24204000000</v>
      </c>
      <c r="M587" s="23" t="n">
        <v>-3499000000</v>
      </c>
      <c r="N587" s="23" t="n">
        <v>20705000000</v>
      </c>
      <c r="O587" s="23" t="n">
        <v>1018000000</v>
      </c>
      <c r="P587" s="23" t="n">
        <v>76904000000</v>
      </c>
      <c r="Q587" s="23" t="n">
        <v>29113000000</v>
      </c>
      <c r="R587" s="23" t="n">
        <v>102591000000</v>
      </c>
      <c r="S587" s="4" t="n">
        <v>32.343989769821</v>
      </c>
    </row>
    <row r="588" customFormat="false" ht="15" hidden="false" customHeight="false" outlineLevel="0" collapsed="false">
      <c r="A588" s="4" t="s">
        <v>542</v>
      </c>
      <c r="B588" s="4" t="n">
        <v>2023</v>
      </c>
      <c r="C588" s="4" t="s">
        <v>573</v>
      </c>
      <c r="D588" s="23" t="n">
        <v>371622000000</v>
      </c>
      <c r="E588" s="23" t="n">
        <v>90958000000</v>
      </c>
      <c r="F588" s="23" t="n">
        <v>32358000000</v>
      </c>
      <c r="G588" s="23" t="n">
        <v>36330000000</v>
      </c>
      <c r="H588" s="23" t="n">
        <v>22381000000</v>
      </c>
      <c r="I588" s="4" t="n">
        <v>23.86</v>
      </c>
      <c r="J588" s="23" t="n">
        <v>938000000</v>
      </c>
      <c r="K588" s="23" t="n">
        <v>3246000000</v>
      </c>
      <c r="L588" s="23" t="n">
        <v>29068000000</v>
      </c>
      <c r="M588" s="23" t="n">
        <v>-3386000000</v>
      </c>
      <c r="N588" s="23" t="n">
        <v>25682000000</v>
      </c>
      <c r="O588" s="23" t="n">
        <v>1059000000</v>
      </c>
      <c r="P588" s="23" t="n">
        <v>67435000000</v>
      </c>
      <c r="Q588" s="23" t="n">
        <v>29628000000</v>
      </c>
      <c r="R588" s="23" t="n">
        <v>98919000000</v>
      </c>
      <c r="S588" s="4" t="n">
        <v>22.3606965174129</v>
      </c>
    </row>
    <row r="589" customFormat="false" ht="15" hidden="false" customHeight="false" outlineLevel="0" collapsed="false">
      <c r="A589" s="4" t="s">
        <v>542</v>
      </c>
      <c r="B589" s="4" t="n">
        <v>2022</v>
      </c>
      <c r="C589" s="4" t="s">
        <v>574</v>
      </c>
      <c r="D589" s="23" t="n">
        <v>324162000000</v>
      </c>
      <c r="E589" s="23" t="n">
        <v>79617000000</v>
      </c>
      <c r="F589" s="23" t="n">
        <v>28435000000</v>
      </c>
      <c r="G589" s="23" t="n">
        <v>31835000000</v>
      </c>
      <c r="H589" s="23" t="n">
        <v>20120000000</v>
      </c>
      <c r="I589" s="4" t="n">
        <v>21.18</v>
      </c>
      <c r="J589" s="23" t="n">
        <v>950000000</v>
      </c>
      <c r="K589" s="23" t="n">
        <v>2092000000</v>
      </c>
      <c r="L589" s="23" t="n">
        <v>26206000000</v>
      </c>
      <c r="M589" s="23" t="n">
        <v>-2802000000</v>
      </c>
      <c r="N589" s="23" t="n">
        <v>23404000000</v>
      </c>
      <c r="O589" s="23" t="n">
        <v>925000000</v>
      </c>
      <c r="P589" s="23" t="n">
        <v>57623000000</v>
      </c>
      <c r="Q589" s="23" t="n">
        <v>27911000000</v>
      </c>
      <c r="R589" s="23" t="n">
        <v>86347000000</v>
      </c>
      <c r="S589" s="4" t="n">
        <v>24.6137418755803</v>
      </c>
    </row>
    <row r="590" customFormat="false" ht="15" hidden="false" customHeight="false" outlineLevel="0" collapsed="false">
      <c r="A590" s="4" t="s">
        <v>542</v>
      </c>
      <c r="B590" s="4" t="n">
        <v>2021</v>
      </c>
      <c r="C590" s="4" t="s">
        <v>575</v>
      </c>
      <c r="D590" s="23" t="n">
        <v>287597000000</v>
      </c>
      <c r="E590" s="23" t="n">
        <v>69652000000</v>
      </c>
      <c r="F590" s="23" t="n">
        <v>23970000000</v>
      </c>
      <c r="G590" s="23" t="n">
        <v>27073000000</v>
      </c>
      <c r="H590" s="23" t="n">
        <v>17285000000</v>
      </c>
      <c r="I590" s="4" t="n">
        <v>18.08</v>
      </c>
      <c r="J590" s="23" t="n">
        <v>956000000</v>
      </c>
      <c r="K590" s="23" t="n">
        <v>1660000000</v>
      </c>
      <c r="L590" s="23" t="n">
        <v>22343000000</v>
      </c>
      <c r="M590" s="23" t="n">
        <v>-2454000000</v>
      </c>
      <c r="N590" s="23" t="n">
        <v>19889000000</v>
      </c>
      <c r="O590" s="23" t="n">
        <v>800000000</v>
      </c>
      <c r="P590" s="23" t="n">
        <v>46003000000</v>
      </c>
      <c r="Q590" s="23" t="n">
        <v>23907000000</v>
      </c>
      <c r="R590" s="23" t="n">
        <v>76479000000</v>
      </c>
      <c r="S590" s="4" t="n">
        <v>27.3944353518822</v>
      </c>
    </row>
    <row r="591" customFormat="false" ht="15" hidden="false" customHeight="false" outlineLevel="0" collapsed="false">
      <c r="A591" s="4" t="s">
        <v>546</v>
      </c>
      <c r="B591" s="4" t="n">
        <v>2025</v>
      </c>
      <c r="C591" s="4" t="s">
        <v>103</v>
      </c>
      <c r="D591" s="23" t="n">
        <v>138191000000</v>
      </c>
      <c r="E591" s="23" t="n">
        <v>63077000000</v>
      </c>
      <c r="F591" s="23" t="n">
        <v>29259000000</v>
      </c>
      <c r="G591" s="23" t="n">
        <v>47715000000</v>
      </c>
      <c r="H591" s="23" t="n">
        <v>17174000000</v>
      </c>
      <c r="I591" s="4" t="n">
        <v>4.06</v>
      </c>
      <c r="J591" s="23" t="n">
        <v>4231000000</v>
      </c>
      <c r="K591" s="23" t="n">
        <v>6694000000</v>
      </c>
      <c r="L591" s="23" t="n">
        <v>37137000000</v>
      </c>
      <c r="M591" s="23" t="n">
        <v>-17461000000</v>
      </c>
      <c r="N591" s="23" t="n">
        <v>19676000000</v>
      </c>
      <c r="O591" s="23" t="n">
        <v>0</v>
      </c>
      <c r="P591" s="23" t="n">
        <v>200594000000</v>
      </c>
      <c r="Q591" s="23" t="n">
        <v>19048000000</v>
      </c>
      <c r="R591" s="23" t="n">
        <v>105741000000</v>
      </c>
      <c r="S591" s="4" t="n">
        <v>10.0320197044335</v>
      </c>
    </row>
    <row r="592" customFormat="false" ht="15" hidden="false" customHeight="false" outlineLevel="0" collapsed="false">
      <c r="A592" s="4" t="s">
        <v>546</v>
      </c>
      <c r="B592" s="4" t="n">
        <v>2024</v>
      </c>
      <c r="C592" s="4" t="s">
        <v>572</v>
      </c>
      <c r="D592" s="23" t="n">
        <v>134788000000</v>
      </c>
      <c r="E592" s="23" t="n">
        <v>62799000000</v>
      </c>
      <c r="F592" s="23" t="n">
        <v>30604000000</v>
      </c>
      <c r="G592" s="23" t="n">
        <v>47524000000</v>
      </c>
      <c r="H592" s="23" t="n">
        <v>17506000000</v>
      </c>
      <c r="I592" s="4" t="n">
        <v>4.15</v>
      </c>
      <c r="J592" s="23" t="n">
        <v>4218000000</v>
      </c>
      <c r="K592" s="23" t="n">
        <v>6653000000</v>
      </c>
      <c r="L592" s="23" t="n">
        <v>36912000000</v>
      </c>
      <c r="M592" s="23" t="n">
        <v>-17990000000</v>
      </c>
      <c r="N592" s="23" t="n">
        <v>18922000000</v>
      </c>
      <c r="O592" s="23" t="n">
        <v>0</v>
      </c>
      <c r="P592" s="23" t="n">
        <v>168357000000</v>
      </c>
      <c r="Q592" s="23" t="n">
        <v>4194000000</v>
      </c>
      <c r="R592" s="23" t="n">
        <v>100575000000</v>
      </c>
      <c r="S592" s="4" t="n">
        <v>9.63614457831325</v>
      </c>
    </row>
    <row r="593" customFormat="false" ht="15" hidden="false" customHeight="false" outlineLevel="0" collapsed="false">
      <c r="A593" s="4" t="s">
        <v>546</v>
      </c>
      <c r="B593" s="4" t="n">
        <v>2023</v>
      </c>
      <c r="C593" s="4" t="s">
        <v>573</v>
      </c>
      <c r="D593" s="23" t="n">
        <v>133974000000</v>
      </c>
      <c r="E593" s="23" t="n">
        <v>61463000000</v>
      </c>
      <c r="F593" s="23" t="n">
        <v>28831000000</v>
      </c>
      <c r="G593" s="23" t="n">
        <v>40136000000</v>
      </c>
      <c r="H593" s="23" t="n">
        <v>11614000000</v>
      </c>
      <c r="I593" s="4" t="n">
        <v>2.75</v>
      </c>
      <c r="J593" s="23" t="n">
        <v>4215000000</v>
      </c>
      <c r="K593" s="23" t="n">
        <v>5525000000</v>
      </c>
      <c r="L593" s="23" t="n">
        <v>37475000000</v>
      </c>
      <c r="M593" s="23" t="n">
        <v>-18767000000</v>
      </c>
      <c r="N593" s="23" t="n">
        <v>18708000000</v>
      </c>
      <c r="O593" s="23" t="n">
        <v>0</v>
      </c>
      <c r="P593" s="23" t="n">
        <v>174942000000</v>
      </c>
      <c r="Q593" s="23" t="n">
        <v>2065000000</v>
      </c>
      <c r="R593" s="23" t="n">
        <v>93799000000</v>
      </c>
      <c r="S593" s="4" t="n">
        <v>13.6594202898551</v>
      </c>
    </row>
    <row r="594" customFormat="false" ht="15" hidden="false" customHeight="false" outlineLevel="0" collapsed="false">
      <c r="A594" s="4" t="s">
        <v>546</v>
      </c>
      <c r="B594" s="4" t="n">
        <v>2022</v>
      </c>
      <c r="C594" s="4" t="s">
        <v>574</v>
      </c>
      <c r="D594" s="23" t="n">
        <v>136835000000</v>
      </c>
      <c r="E594" s="23" t="n">
        <v>60603000000</v>
      </c>
      <c r="F594" s="23" t="n">
        <v>30467000000</v>
      </c>
      <c r="G594" s="23" t="n">
        <v>48952000000</v>
      </c>
      <c r="H594" s="23" t="n">
        <v>21256000000</v>
      </c>
      <c r="I594" s="4" t="n">
        <v>5.06</v>
      </c>
      <c r="J594" s="23" t="n">
        <v>4204000000</v>
      </c>
      <c r="K594" s="23" t="n">
        <v>3582000000</v>
      </c>
      <c r="L594" s="23" t="n">
        <v>37141000000</v>
      </c>
      <c r="M594" s="23" t="n">
        <v>-26740000000</v>
      </c>
      <c r="N594" s="23" t="n">
        <v>10401000000</v>
      </c>
      <c r="O594" s="23" t="n">
        <v>0</v>
      </c>
      <c r="P594" s="23" t="n">
        <v>176331000000</v>
      </c>
      <c r="Q594" s="23" t="n">
        <v>2605000000</v>
      </c>
      <c r="R594" s="23" t="n">
        <v>92463000000</v>
      </c>
      <c r="S594" s="4" t="n">
        <v>7.78656126482214</v>
      </c>
    </row>
    <row r="595" customFormat="false" ht="15" hidden="false" customHeight="false" outlineLevel="0" collapsed="false">
      <c r="A595" s="4" t="s">
        <v>546</v>
      </c>
      <c r="B595" s="4" t="n">
        <v>2021</v>
      </c>
      <c r="C595" s="4" t="s">
        <v>575</v>
      </c>
      <c r="D595" s="23" t="n">
        <v>133613000000</v>
      </c>
      <c r="E595" s="23" t="n">
        <v>61106000000</v>
      </c>
      <c r="F595" s="23" t="n">
        <v>31965000000</v>
      </c>
      <c r="G595" s="23" t="n">
        <v>49124000000</v>
      </c>
      <c r="H595" s="23" t="n">
        <v>22065000000</v>
      </c>
      <c r="I595" s="4" t="n">
        <v>5.32</v>
      </c>
      <c r="J595" s="23" t="n">
        <v>4150000000</v>
      </c>
      <c r="K595" s="23" t="n">
        <v>3498000000</v>
      </c>
      <c r="L595" s="23" t="n">
        <v>39539000000</v>
      </c>
      <c r="M595" s="23" t="n">
        <v>-20286000000</v>
      </c>
      <c r="N595" s="23" t="n">
        <v>19253000000</v>
      </c>
      <c r="O595" s="23" t="n">
        <v>0</v>
      </c>
      <c r="P595" s="23" t="n">
        <v>177930000000</v>
      </c>
      <c r="Q595" s="23" t="n">
        <v>2921000000</v>
      </c>
      <c r="R595" s="23" t="n">
        <v>83200000000</v>
      </c>
      <c r="S595" s="4" t="n">
        <v>9.76691729323308</v>
      </c>
    </row>
    <row r="596" customFormat="false" ht="15" hidden="false" customHeight="false" outlineLevel="0" collapsed="false">
      <c r="A596" s="4" t="s">
        <v>549</v>
      </c>
      <c r="B596" s="4" t="n">
        <v>2025</v>
      </c>
      <c r="C596" s="4" t="s">
        <v>103</v>
      </c>
      <c r="D596" s="23" t="n">
        <v>323905000000</v>
      </c>
      <c r="E596" s="23" t="n">
        <v>70233000000</v>
      </c>
      <c r="F596" s="23" t="n">
        <v>33938000000</v>
      </c>
      <c r="G596" s="23" t="n">
        <v>67864000000</v>
      </c>
      <c r="H596" s="23" t="n">
        <v>28844000000</v>
      </c>
      <c r="I596" s="4" t="n">
        <v>6.7</v>
      </c>
      <c r="J596" s="23" t="n">
        <v>4305000000</v>
      </c>
      <c r="K596" s="23" t="n">
        <v>603000000</v>
      </c>
      <c r="L596" s="23" t="n">
        <v>51970000000</v>
      </c>
      <c r="M596" s="23" t="n">
        <v>-28358000000</v>
      </c>
      <c r="N596" s="23" t="n">
        <v>23612000000</v>
      </c>
      <c r="O596" s="23" t="n">
        <v>0</v>
      </c>
      <c r="P596" s="23" t="n">
        <v>43537000000</v>
      </c>
      <c r="Q596" s="23" t="n">
        <v>10681000000</v>
      </c>
      <c r="R596" s="23" t="n">
        <v>266626000000</v>
      </c>
      <c r="S596" s="4" t="n">
        <v>17.9611940298507</v>
      </c>
    </row>
    <row r="597" customFormat="false" ht="15" hidden="false" customHeight="false" outlineLevel="0" collapsed="false">
      <c r="A597" s="4" t="s">
        <v>549</v>
      </c>
      <c r="B597" s="4" t="n">
        <v>2024</v>
      </c>
      <c r="C597" s="4" t="s">
        <v>572</v>
      </c>
      <c r="D597" s="23" t="n">
        <v>339247000000</v>
      </c>
      <c r="E597" s="23" t="n">
        <v>76742000000</v>
      </c>
      <c r="F597" s="23" t="n">
        <v>39652000000</v>
      </c>
      <c r="G597" s="23" t="n">
        <v>73311000000</v>
      </c>
      <c r="H597" s="23" t="n">
        <v>33680000000</v>
      </c>
      <c r="I597" s="4" t="n">
        <v>7.84</v>
      </c>
      <c r="J597" s="23" t="n">
        <v>4298000000</v>
      </c>
      <c r="K597" s="23" t="n">
        <v>996000000</v>
      </c>
      <c r="L597" s="23" t="n">
        <v>55022000000</v>
      </c>
      <c r="M597" s="23" t="n">
        <v>-24306000000</v>
      </c>
      <c r="N597" s="23" t="n">
        <v>30716000000</v>
      </c>
      <c r="O597" s="23" t="n">
        <v>0</v>
      </c>
      <c r="P597" s="23" t="n">
        <v>41710000000</v>
      </c>
      <c r="Q597" s="23" t="n">
        <v>23029000000</v>
      </c>
      <c r="R597" s="23" t="n">
        <v>270606000000</v>
      </c>
      <c r="S597" s="4" t="n">
        <v>13.7206632653061</v>
      </c>
    </row>
    <row r="598" customFormat="false" ht="15" hidden="false" customHeight="false" outlineLevel="0" collapsed="false">
      <c r="A598" s="4" t="s">
        <v>549</v>
      </c>
      <c r="B598" s="4" t="n">
        <v>2023</v>
      </c>
      <c r="C598" s="4" t="s">
        <v>573</v>
      </c>
      <c r="D598" s="23" t="n">
        <v>334697000000</v>
      </c>
      <c r="E598" s="23" t="n">
        <v>84142000000</v>
      </c>
      <c r="F598" s="23" t="n">
        <v>44461000000</v>
      </c>
      <c r="G598" s="23" t="n">
        <v>74273000000</v>
      </c>
      <c r="H598" s="23" t="n">
        <v>36010000000</v>
      </c>
      <c r="I598" s="4" t="n">
        <v>8.89</v>
      </c>
      <c r="J598" s="23" t="n">
        <v>4052000000</v>
      </c>
      <c r="K598" s="23" t="n">
        <v>849000000</v>
      </c>
      <c r="L598" s="23" t="n">
        <v>55369000000</v>
      </c>
      <c r="M598" s="23" t="n">
        <v>-21919000000</v>
      </c>
      <c r="N598" s="23" t="n">
        <v>33450000000</v>
      </c>
      <c r="O598" s="23" t="n">
        <v>611000000</v>
      </c>
      <c r="P598" s="23" t="n">
        <v>41573000000</v>
      </c>
      <c r="Q598" s="23" t="n">
        <v>31539000000</v>
      </c>
      <c r="R598" s="23" t="n">
        <v>212538000000</v>
      </c>
      <c r="S598" s="4" t="n">
        <v>11.2463442069741</v>
      </c>
    </row>
    <row r="599" customFormat="false" ht="15" hidden="false" customHeight="false" outlineLevel="0" collapsed="false">
      <c r="A599" s="4" t="s">
        <v>549</v>
      </c>
      <c r="B599" s="4" t="n">
        <v>2022</v>
      </c>
      <c r="C599" s="4" t="s">
        <v>574</v>
      </c>
      <c r="D599" s="23" t="n">
        <v>398675000000</v>
      </c>
      <c r="E599" s="23" t="n">
        <v>103067000000</v>
      </c>
      <c r="F599" s="23" t="n">
        <v>64028000000</v>
      </c>
      <c r="G599" s="23" t="n">
        <v>102591000000</v>
      </c>
      <c r="H599" s="23" t="n">
        <v>55740000000</v>
      </c>
      <c r="I599" s="4" t="n">
        <v>13.26</v>
      </c>
      <c r="J599" s="23" t="n">
        <v>4205000000</v>
      </c>
      <c r="K599" s="23" t="n">
        <v>798000000</v>
      </c>
      <c r="L599" s="23" t="n">
        <v>76797000000</v>
      </c>
      <c r="M599" s="23" t="n">
        <v>-18407000000</v>
      </c>
      <c r="N599" s="23" t="n">
        <v>58390000000</v>
      </c>
      <c r="O599" s="23" t="n">
        <v>648000000</v>
      </c>
      <c r="P599" s="23" t="n">
        <v>41193000000</v>
      </c>
      <c r="Q599" s="23" t="n">
        <v>29640000000</v>
      </c>
      <c r="R599" s="23" t="n">
        <v>202473000000</v>
      </c>
      <c r="S599" s="4" t="n">
        <v>8.31825037707391</v>
      </c>
    </row>
    <row r="600" customFormat="false" ht="15" hidden="false" customHeight="false" outlineLevel="0" collapsed="false">
      <c r="A600" s="4" t="s">
        <v>549</v>
      </c>
      <c r="B600" s="4" t="n">
        <v>2021</v>
      </c>
      <c r="C600" s="4" t="s">
        <v>575</v>
      </c>
      <c r="D600" s="23" t="n">
        <v>276692000000</v>
      </c>
      <c r="E600" s="23" t="n">
        <v>64886000000</v>
      </c>
      <c r="F600" s="23" t="n">
        <v>24019000000</v>
      </c>
      <c r="G600" s="23" t="n">
        <v>52788000000</v>
      </c>
      <c r="H600" s="23" t="n">
        <v>23040000000</v>
      </c>
      <c r="I600" s="4" t="n">
        <v>5.39</v>
      </c>
      <c r="J600" s="23" t="n">
        <v>4275000000</v>
      </c>
      <c r="K600" s="23" t="n">
        <v>947000000</v>
      </c>
      <c r="L600" s="23" t="n">
        <v>48129000000</v>
      </c>
      <c r="M600" s="23" t="n">
        <v>-12076000000</v>
      </c>
      <c r="N600" s="23" t="n">
        <v>36053000000</v>
      </c>
      <c r="O600" s="23" t="n">
        <v>612000000</v>
      </c>
      <c r="P600" s="23" t="n">
        <v>47704000000</v>
      </c>
      <c r="Q600" s="23" t="n">
        <v>6802000000</v>
      </c>
      <c r="R600" s="23" t="n">
        <v>175683000000</v>
      </c>
      <c r="S600" s="4" t="n">
        <v>11.3525046382189</v>
      </c>
    </row>
    <row r="602" customFormat="false" ht="15" hidden="false" customHeight="false" outlineLevel="0" collapsed="false">
      <c r="A602" s="10" t="s">
        <v>655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2026-10-13T15:22:53Z</dcterms:created>
  <dc:creator>openpyxl</dc:creator>
  <dc:description/>
  <dc:language>en-US</dc:language>
  <cp:lastModifiedBy/>
  <dcterms:modified xsi:type="dcterms:W3CDTF">2026-10-13T15:22:53Z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